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eagle 11092024\eagle 27-06-2024\"/>
    </mc:Choice>
  </mc:AlternateContent>
  <xr:revisionPtr revIDLastSave="0" documentId="13_ncr:1_{2CA13209-C133-46C6-9B02-304495CE9DD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قائمة الاسعار" sheetId="2" r:id="rId1"/>
  </sheets>
  <externalReferences>
    <externalReference r:id="rId2"/>
  </externalReferences>
  <definedNames>
    <definedName name="_xlnm._FilterDatabase" localSheetId="0" hidden="1">'قائمة الاسعار'!$A$1:$N$228</definedName>
  </definedNames>
  <calcPr calcId="191029"/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4" i="2"/>
  <c r="J25" i="2"/>
  <c r="J26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" i="2"/>
</calcChain>
</file>

<file path=xl/sharedStrings.xml><?xml version="1.0" encoding="utf-8"?>
<sst xmlns="http://schemas.openxmlformats.org/spreadsheetml/2006/main" count="809" uniqueCount="762">
  <si>
    <t>AQS-BSKTBAG5G</t>
  </si>
  <si>
    <t>اكياس سلة عوافي 5 جالون</t>
  </si>
  <si>
    <t>AQS-BSKTBAG8G</t>
  </si>
  <si>
    <t>اكياس سلة عوافي 8 جالون</t>
  </si>
  <si>
    <t>AQS-BSKTBG10G</t>
  </si>
  <si>
    <t xml:space="preserve">اكياس سلة عوافي 10 جالون </t>
  </si>
  <si>
    <t>AQS-FGNY10x10</t>
  </si>
  <si>
    <t>نايلون حفظ طعام رول مقاس10 - 10رول×400جم</t>
  </si>
  <si>
    <t>AQS-FGNY12x10</t>
  </si>
  <si>
    <t>نايلون حفظ طعام رول مقاس12 - 10رول×400جم</t>
  </si>
  <si>
    <t>AQS-FGNY14x10</t>
  </si>
  <si>
    <t>نايلون حفظ طعام رول مقاس14 - 10رول×400جم</t>
  </si>
  <si>
    <t>AQS-FGNY8x10R</t>
  </si>
  <si>
    <t>نايلون حفظ طعام رول مقاس 8 - 10رول×400جم</t>
  </si>
  <si>
    <t>AQS-SHOPBGS18</t>
  </si>
  <si>
    <t>اكياس علاقي ازرق 10كيلو مقاس 18</t>
  </si>
  <si>
    <t>AQS-SHOPBGS22</t>
  </si>
  <si>
    <t>اكياس علاقي اصفر 10 كيلو مقاس 22</t>
  </si>
  <si>
    <t>AQS-TC4RLx20B</t>
  </si>
  <si>
    <t>مفارش سفرة عوافي 4رول  20شنطة*4رول 350جم</t>
  </si>
  <si>
    <t>AQS-TCRL10X1R</t>
  </si>
  <si>
    <t>مفارش سفره ايجل رول 50 مفرش مطبوع 10رول*400جم</t>
  </si>
  <si>
    <t>ARM-CVR9OZCRF</t>
  </si>
  <si>
    <t>غطاء اكواب ورقية  9 كرافت</t>
  </si>
  <si>
    <t>ARM-PC2OZnoND</t>
  </si>
  <si>
    <t>كاسات ورقية 2.5 اونص بدون يد  20X50</t>
  </si>
  <si>
    <t>ARM-PC4OZnoND</t>
  </si>
  <si>
    <t>كاسات ورقية 4 اونص بدون يد  20X50</t>
  </si>
  <si>
    <t>ARM-PC7OZHAND</t>
  </si>
  <si>
    <t>كاسات ورقية 7 اونص بيد 20X50</t>
  </si>
  <si>
    <t>ARM-PC9CRFTCV</t>
  </si>
  <si>
    <t>كاسات ورقية 9 اونص كرفات مع غطاء 20X50</t>
  </si>
  <si>
    <t>ARM-PC9OZCRFT</t>
  </si>
  <si>
    <t>كاسات ورقية 9 اونص كرفات 20X50</t>
  </si>
  <si>
    <t>ARM-PC9OZHAND</t>
  </si>
  <si>
    <t>كاسات ورقية 9 اونص بيد 20X50</t>
  </si>
  <si>
    <t>BDR-GB50G1K10</t>
  </si>
  <si>
    <t>اكياس نفايا رول 50 جالون 1 كيلو 1شد*10رول</t>
  </si>
  <si>
    <t>BDR-GB50G3.5K</t>
  </si>
  <si>
    <t>اكياس نفايا رول 50 جالون 3.5 كيلو 1شد*2رول</t>
  </si>
  <si>
    <t>BDR-GB55G1K10</t>
  </si>
  <si>
    <t>اكياس نفايا رول 55 جالون 1 كيلو 1شد*10رول</t>
  </si>
  <si>
    <t>BDR-GB55G3.5K</t>
  </si>
  <si>
    <t>اكياس نفايا رول 55 جالون 3.5 كيلو 1شد*2رول</t>
  </si>
  <si>
    <t>BDR-GB55G8K1R</t>
  </si>
  <si>
    <t>اكياس نفايا رول 55 جالون 8 كيلو 1رول</t>
  </si>
  <si>
    <t>BDR-GB70G3-5K</t>
  </si>
  <si>
    <t>اكياس نفايا رول 70 جالون 3.5 كيلو 1شد*2رول</t>
  </si>
  <si>
    <t>BDR-GBR50G5KG</t>
  </si>
  <si>
    <t>اكياس نفايا رول 50 جالون وزن 5 كيلو</t>
  </si>
  <si>
    <t>BDR-GBR50G7KG</t>
  </si>
  <si>
    <t>اكياس نفايا رول 50 جالون وزن 7 كيلو</t>
  </si>
  <si>
    <t>BDR-GBR55G5KG</t>
  </si>
  <si>
    <t>اكياس نفايا رول 55 جالون وزن 5 كيلو</t>
  </si>
  <si>
    <t>BDR-GBR55G7KG</t>
  </si>
  <si>
    <t>اكياس نفايا رول 55 جالون وزن 7 كيلو</t>
  </si>
  <si>
    <t>BDR-GBR70G5KG</t>
  </si>
  <si>
    <t>اكياس نفايا رول 70 جالون وزن 5 كيلو</t>
  </si>
  <si>
    <t>BDR-GBR70G7KG</t>
  </si>
  <si>
    <t>اكياس نفايا رول70 جالون وزن 7 كليو</t>
  </si>
  <si>
    <t>BDR-TB4K1ROLL</t>
  </si>
  <si>
    <t>مفارش سفرة رول 4 كيلو 1رول</t>
  </si>
  <si>
    <t>BDR-TB6K1ROLL</t>
  </si>
  <si>
    <t>مفارش سفرة رول 6 كيلو 1رول</t>
  </si>
  <si>
    <t>BPF-JUCECUP10</t>
  </si>
  <si>
    <t>كوب عصير 10 اونص 20شد×50قطعة BPF</t>
  </si>
  <si>
    <t>BPF-JUCELID10</t>
  </si>
  <si>
    <t>غطاء كوب عصير 10 اونص 20شد×50قطعة BPF</t>
  </si>
  <si>
    <t>BPF-PFC1000ML</t>
  </si>
  <si>
    <t>علبة طعام بلاستيكية 1000م مستطيل BPF</t>
  </si>
  <si>
    <t>BPF-PFC2000ML</t>
  </si>
  <si>
    <t>علبة طعام بلاستيكية 2000م مستطيل BPF</t>
  </si>
  <si>
    <t>BPF-PLSTBX200</t>
  </si>
  <si>
    <t>علب بلاستيك مع غطاء ساخن وبارد 200 ملي 20شد×50قطعة BPF</t>
  </si>
  <si>
    <t>BPF-PLSTBX250</t>
  </si>
  <si>
    <t>علب بلاستيك مع غطاء ساخن وبارد 250 ملي 20شد×50قطعة BPF</t>
  </si>
  <si>
    <t>BPF-PLSTBX350</t>
  </si>
  <si>
    <t>علب بلاستيك مع غطاء ساخن وبارد 350 ملي 20شد×50قطعة BPF</t>
  </si>
  <si>
    <t>BPF-PPLTRECHF</t>
  </si>
  <si>
    <t>اطباق بلاستيكية مستطيلة مقاس نص 20شد×50قطعة BPF</t>
  </si>
  <si>
    <t>BPF-PPLTRECT1</t>
  </si>
  <si>
    <t>اطباق بلاستيكية مستطيلة مقاس1 20شد×50قطعة BPF</t>
  </si>
  <si>
    <t>BPF-PPLTRECT2</t>
  </si>
  <si>
    <t>اطباق بلاستيكية مستطيلة مقاس2 20شد×50قطعة BPF</t>
  </si>
  <si>
    <t>BPF-PPLTRECT3</t>
  </si>
  <si>
    <t>اطباق بلاستيكية مستطيلة مقاس 3 20شد×50قطعة BPF</t>
  </si>
  <si>
    <t>BPF-PPLTRECT4</t>
  </si>
  <si>
    <t>اطباق بلاستيكية مستطيلة مقاس 4 10شد×50قطعة BPF</t>
  </si>
  <si>
    <t>BPF-SLDCLR206</t>
  </si>
  <si>
    <t>علب سلطة شفاف مع غطاء مقاس206 10شد×50قطعة BPF</t>
  </si>
  <si>
    <t>BPF-SLDCLR207</t>
  </si>
  <si>
    <t>علب سلطة شفاف مع غطاء مقاس207 10شد×50قطعة BPF</t>
  </si>
  <si>
    <t>BPF-SLDCLRLID</t>
  </si>
  <si>
    <t>علب سلطة شفاف مع غطاء مقاس205 10شد×50قطعة BPF</t>
  </si>
  <si>
    <t>BPF-SPONBLACK</t>
  </si>
  <si>
    <t>ملعقة بلاستيكية سوداء 20شد×50قطعة BPF</t>
  </si>
  <si>
    <t>BPF-SPONWHITE</t>
  </si>
  <si>
    <t>ملعقة بلاستيكية بيضاء 20شد×50قطعة BPF</t>
  </si>
  <si>
    <t>BPF-SUCBXBLK2</t>
  </si>
  <si>
    <t>علبة صوص اسود مع غطاء 2اونص  20شد×100قطعة BPF</t>
  </si>
  <si>
    <t>BPF-SUCBXCLR2</t>
  </si>
  <si>
    <t>علبة صوص شفاف مع غطاء 2اونص 20شد×100قطعة BPF</t>
  </si>
  <si>
    <t>BPF-SUCBXWIT2</t>
  </si>
  <si>
    <t>علبة صوص بيضاء مع غطاء 2اونص 20شد×100قطعة BPF</t>
  </si>
  <si>
    <t>CGF-PC2OZ2050</t>
  </si>
  <si>
    <t>كاسات ورقية 2.5 اونصة 20×50</t>
  </si>
  <si>
    <t>CGF-PC7OZ2050</t>
  </si>
  <si>
    <t>كاسات ورقية 7 اونصة 20×50</t>
  </si>
  <si>
    <t>CGF-PC9OZ2050</t>
  </si>
  <si>
    <t>كاسات ورقية 8 اونص 20×50</t>
  </si>
  <si>
    <t>egl-AL24X45X6</t>
  </si>
  <si>
    <t>قصدير ايجل 24حبة ×45سم×6متر</t>
  </si>
  <si>
    <t>egl-AL6X30X85</t>
  </si>
  <si>
    <t>قصدير ايجل 6حبات × 30سم×85متر</t>
  </si>
  <si>
    <t>egl-AL6X45X85</t>
  </si>
  <si>
    <t>قصدير ايجل 6حبات ×45سم×85متر</t>
  </si>
  <si>
    <t>egl-ALM243030</t>
  </si>
  <si>
    <t>قصدير مندي ايجل 24حبة ×30سم×30متر</t>
  </si>
  <si>
    <t>egl-ALM24X456</t>
  </si>
  <si>
    <t>قصدير مندي ايجل 24حبة ×45سم×6متر</t>
  </si>
  <si>
    <t>egl-BD2s6x74p</t>
  </si>
  <si>
    <t>ايجل حفائض اطفال مقاس2 6شد×74حفاض</t>
  </si>
  <si>
    <t>egl-BD3m6x74p</t>
  </si>
  <si>
    <t>ايجل حفائض اطفال مقاس3 6شد×74حفاض</t>
  </si>
  <si>
    <t>egl-BD4L6x74p</t>
  </si>
  <si>
    <t>ايجل حفائض اطفال مقاس4 6شد×74حفاض</t>
  </si>
  <si>
    <t>egl-BD5XL6x74</t>
  </si>
  <si>
    <t>ايجل حفائض اطفال مقاس5 6شد×74حفاض</t>
  </si>
  <si>
    <t>egl-BDLL20X16</t>
  </si>
  <si>
    <t>حفائض ايجل الاقتصادية مقاس4 20عبوة×16حفاض</t>
  </si>
  <si>
    <t>egl-BDMM20X18</t>
  </si>
  <si>
    <t>حفائض ايجل الاقتصادية مقاس3 20عبوة×18حفاض</t>
  </si>
  <si>
    <t>egl-BDNB20X22</t>
  </si>
  <si>
    <t>حفائض ايجل الاقتصادية حديثي الولادة  مقاس1 20عبوة×22حفاض</t>
  </si>
  <si>
    <t>egl-BDSS20X20</t>
  </si>
  <si>
    <t>حفائض ايجل الاقتصادية مقاس2 20عبوة×20حفاض</t>
  </si>
  <si>
    <t>egl-BDXL20X15</t>
  </si>
  <si>
    <t>حفائض ايجل الاقتصادية مقاس5 20عبوة×15حفاض</t>
  </si>
  <si>
    <t>egl-BDXXL2014</t>
  </si>
  <si>
    <t>حفائض ايجل الاقتصادية مقاس6 20عبوة×14حفاض</t>
  </si>
  <si>
    <t>egl-BSK10G10R</t>
  </si>
  <si>
    <t>ايجل اكياس سلة 10 جالون 10 رول × 90 كيس</t>
  </si>
  <si>
    <t>egl-BSKT5G10R</t>
  </si>
  <si>
    <t>ايجل اكياس سلة 5 جالون 10 رول × 90 كيس</t>
  </si>
  <si>
    <t>egl-BSKT8G10R</t>
  </si>
  <si>
    <t>ايجل اكياس سلة 8 جالون 10 رول × 90 كيس</t>
  </si>
  <si>
    <t>egl-BTH40R410</t>
  </si>
  <si>
    <t>مناديل حمام ايجل 40رول 4شد×10ح</t>
  </si>
  <si>
    <t>egl-CL24X3030</t>
  </si>
  <si>
    <t>نايلون تغليف ايجل 24حبة×30سم×30متر</t>
  </si>
  <si>
    <t>egl-CL24X4520</t>
  </si>
  <si>
    <t>نايلون تغليف ايجل 24حبة×45سم×20متر</t>
  </si>
  <si>
    <t>egl-CL6X30200</t>
  </si>
  <si>
    <t>نايلون تغليف ايجل 6حبات×30سم×200متر</t>
  </si>
  <si>
    <t>egl-CL6X45200</t>
  </si>
  <si>
    <t>نايلون تغليف ايجل 6حبات×45سم×200متر</t>
  </si>
  <si>
    <t>egl-Fny10x10R</t>
  </si>
  <si>
    <t>ايجل نايلون حفظ طعام رول مقاس10 - 10رول×400جم</t>
  </si>
  <si>
    <t>egl-Fny12x10R</t>
  </si>
  <si>
    <t>ايجل نايلون حفظ طعام رول مقاس12 - 10رول×400جم</t>
  </si>
  <si>
    <t>egl-Fny14x10R</t>
  </si>
  <si>
    <t>ايجل نايلون حفظ طعام رول مقاس14 - 10رول×400جم</t>
  </si>
  <si>
    <t>egl-FOny6x10R</t>
  </si>
  <si>
    <t>ايجل نايلون حفظ طعام رول مقاس 6 - 10رول×400جم</t>
  </si>
  <si>
    <t>egl-FOny8x10R</t>
  </si>
  <si>
    <t>ايجل نايلون حفظ طعام رول مقاس 8 - 10رول×400جم</t>
  </si>
  <si>
    <t>egl-Ft15012x5</t>
  </si>
  <si>
    <t xml:space="preserve">مناديل كيس ايجل 150منديل مفرد 12شد×5ح </t>
  </si>
  <si>
    <t>egl-FT150s510</t>
  </si>
  <si>
    <t xml:space="preserve">مناديل كيس ايجل 150منديل مفرد 5شد×10ح </t>
  </si>
  <si>
    <t>egl-FT150s610</t>
  </si>
  <si>
    <t xml:space="preserve">مناديل كيس ايجل 150منديل مفرد 6شد×10ح </t>
  </si>
  <si>
    <t>egl-Ft150S6x5</t>
  </si>
  <si>
    <t xml:space="preserve">مناديل كيس ايجل 150منديل مفرد 6شد×5ح </t>
  </si>
  <si>
    <t>egl-FT300g103</t>
  </si>
  <si>
    <t>مناديل كيس ايجل 300 منديل مفرد 10شد×3ح ذهبي</t>
  </si>
  <si>
    <t>egl-FT300g106</t>
  </si>
  <si>
    <t>مناديل كيس ايجل 300 منديل مفرد 10شد×6ح ذهبي</t>
  </si>
  <si>
    <t>egl-FT300g510</t>
  </si>
  <si>
    <t>مناديل كيس ايجل 300 منديل مفرد 5شد×10ح ذهبي</t>
  </si>
  <si>
    <t>egl-FT300G6X5</t>
  </si>
  <si>
    <t>مناديل كيس ايجل 300 منديل مفرد 6شد×5ح ذهبي</t>
  </si>
  <si>
    <t>egl-FT300s103</t>
  </si>
  <si>
    <t>مناديل كيس ايجل ثلاثمائة منديل مفرد 10شد×3ح ابيض</t>
  </si>
  <si>
    <t>egl-FT300s105</t>
  </si>
  <si>
    <t>مناديل كيس ايجل ثلاثمائه منديل مفرد 10شد×5ح ابيض</t>
  </si>
  <si>
    <t>egl-FT300s510</t>
  </si>
  <si>
    <t>مناديل كيس ايجل ثلاثمائه منديل مفرد 5شد×10ح ابيض</t>
  </si>
  <si>
    <t>egl-FT300s6x5</t>
  </si>
  <si>
    <t>مناديل كيس ايجل ثلاثمائه منديل مفرد 6شد×5ح ابيض</t>
  </si>
  <si>
    <t>egl-FT600s410</t>
  </si>
  <si>
    <t>مناديل كيس ايجل 600 منديل مفرد 4شد×10ح</t>
  </si>
  <si>
    <t>egl-FTBX15066</t>
  </si>
  <si>
    <t>مناديل علب ايجل 150 منديل 6شدات × 6 حبات</t>
  </si>
  <si>
    <t>egl-FTBX15094</t>
  </si>
  <si>
    <t>مناديل علب ايجل 150 منديل 9 شدات × 4 حبات</t>
  </si>
  <si>
    <t>egl-GB50G10KG</t>
  </si>
  <si>
    <t>اكياس نفايا ايجل  50 جالون 10 كيلو 10شد×50 كيس</t>
  </si>
  <si>
    <t>egl-GB50G1R3K</t>
  </si>
  <si>
    <t>اكياس نفايا ايجل 1رول×3ك 50 جالون ماسورة</t>
  </si>
  <si>
    <t>egl-GB50G2R3K</t>
  </si>
  <si>
    <t>اكياس نفايا ايجل 2رول×3ك 50 جالون ماسورة</t>
  </si>
  <si>
    <t>egl-GB55G1R3K</t>
  </si>
  <si>
    <t>اكياس نفايا ايجل 1رول×3ك 55 جالون ماسورة</t>
  </si>
  <si>
    <t>egl-GB55G2R3K</t>
  </si>
  <si>
    <t>اكياس نفايا ايجل 2رول×3ك 55 جالون ماسورة</t>
  </si>
  <si>
    <t>egl-GB70G1R3K</t>
  </si>
  <si>
    <t>اكياس نفايا ايجل 1رول×3ك 70 جالون ماسورة</t>
  </si>
  <si>
    <t>egl-GB70G2R3K</t>
  </si>
  <si>
    <t>اكياس نفايا ايجل 2رول×3ك 70 جالون ماسورة</t>
  </si>
  <si>
    <t>egl-GBRL50G6K</t>
  </si>
  <si>
    <t>اكياس نفايا ايجل رول 50 جالون ماسورة 6ك</t>
  </si>
  <si>
    <t>egl-GBRL55G6K</t>
  </si>
  <si>
    <t>اكياس نفايا ايجل رول 55 جالون ماسورة 6ك</t>
  </si>
  <si>
    <t>egl-GBRL70G6K</t>
  </si>
  <si>
    <t>اكياس نفايا ايجل رول 70 جالون ماسورة 6ك</t>
  </si>
  <si>
    <t>egl-INTRFLD1P</t>
  </si>
  <si>
    <t>انترفولد ايجل اخضر 150 منديل مفرد 24 حبة</t>
  </si>
  <si>
    <t>egl-JMBRL3Kx5</t>
  </si>
  <si>
    <t>رول مطعم ايجل جامبو 3ك × 5حبة</t>
  </si>
  <si>
    <t>egl-KT23CM4X6</t>
  </si>
  <si>
    <t>مناديل مطبخ ايجل 23سم 24 رول 4شد×6ح</t>
  </si>
  <si>
    <t>egl-KT23CM6X6</t>
  </si>
  <si>
    <t>مناديل مطبخ ايجل 23سم 36 رول 6شد×6ح</t>
  </si>
  <si>
    <t>egl-KT28CM362</t>
  </si>
  <si>
    <t>مناديل مطبخ ايجل 28سم 24 رول 3شد×6+2ح</t>
  </si>
  <si>
    <t>egl-MXRL150Mi</t>
  </si>
  <si>
    <t>ماكسي رول ايجل 150متر  اقتصادي 6 رول</t>
  </si>
  <si>
    <t>egl-MXRL300Mi</t>
  </si>
  <si>
    <t>ماكسي رول ايجل 300 م  احمر 6 رول</t>
  </si>
  <si>
    <t>egl-MXRL750SH</t>
  </si>
  <si>
    <t>ماكسي رول ايجل 750 شيت اخضر 6رول</t>
  </si>
  <si>
    <t>egl-MXROL300M</t>
  </si>
  <si>
    <t>ماكسي رول ايجل 300 متر احمر 6 رول</t>
  </si>
  <si>
    <t>egl-PPCUPS2OZ</t>
  </si>
  <si>
    <t>كاسات ايجل الورقية 2 اونص</t>
  </si>
  <si>
    <t>egl-pprcp9prm</t>
  </si>
  <si>
    <t xml:space="preserve">كاسات ورقية 9 اونص </t>
  </si>
  <si>
    <t>egl-PPRCUP4OZ</t>
  </si>
  <si>
    <t>كاسات ايجل الورقية 4 اونصة 20×50</t>
  </si>
  <si>
    <t>egl-PPRCUP7OZ</t>
  </si>
  <si>
    <t>كاسات ايجل الورقية 7 اونصة 20×50</t>
  </si>
  <si>
    <t>egl-PPRCUP9OZ</t>
  </si>
  <si>
    <t>كاسات ايجل الورقية 9 اونصة 20×50</t>
  </si>
  <si>
    <t>egl-T600MX410</t>
  </si>
  <si>
    <t>مناديل كيس لافيستا ستمائة منديل مفرد 4شد×10ح</t>
  </si>
  <si>
    <t>egl-TC4K1ROLL</t>
  </si>
  <si>
    <t>سفرة ايجل رول 4 كيلو 1رول</t>
  </si>
  <si>
    <t>egl-TC4kgHD1R</t>
  </si>
  <si>
    <t>ايجل سفرة مطاعم ماسورة 4كيلو</t>
  </si>
  <si>
    <t>egl-TCJ6rlx20</t>
  </si>
  <si>
    <t>سفرة ايجل رول جامبو اصفر 100×140 6ح×20</t>
  </si>
  <si>
    <t>egl-TCM10Rx15</t>
  </si>
  <si>
    <t>سفرة ايجل رول ميني جامبو ابيض 100×140 10ح×15</t>
  </si>
  <si>
    <t>egl-ti30e1020</t>
  </si>
  <si>
    <t>اكياس نفايا ايجل ابو ربطة 30 ج برتقالي اقتصادي 10ح×20</t>
  </si>
  <si>
    <t>egl-ti50e1020</t>
  </si>
  <si>
    <t>اكياس نفايا ايجل ابو ربطة 50 ج احمر اقتصادي 10ح×20</t>
  </si>
  <si>
    <t>egl-ti50h1512</t>
  </si>
  <si>
    <t>اكياس نفايا ايجل ابو ربطة  50 ج احمر عالي السماكة 15ح×12</t>
  </si>
  <si>
    <t>egl-ti55e1020</t>
  </si>
  <si>
    <t>اكياس نفايا ايجل ابو ربطة 55 ج ازرق اقتصادي 10ح×20</t>
  </si>
  <si>
    <t>egl-ti55h1512</t>
  </si>
  <si>
    <t>اكياس نفايا ايجل ابو ربطة  55 ج ازرق عالي السماكة 15ح×12</t>
  </si>
  <si>
    <t>egl-tr50h15x9</t>
  </si>
  <si>
    <t>اكياس نفايا  ايجل 50 ج اخضر عالي السماكه 1كيلو 15ح×9</t>
  </si>
  <si>
    <t>egl-tr55h15x8</t>
  </si>
  <si>
    <t>اكياس نفايا ايجل 55 ج اصفر عالي السماكه 1كيلو15ح×8</t>
  </si>
  <si>
    <t>egl-WATCUP6OZ</t>
  </si>
  <si>
    <t>كاسات مياه ايجل بلاستيكية 6 اونص بيضاء 20شد×50ح</t>
  </si>
  <si>
    <t>egl-WLMNT1200</t>
  </si>
  <si>
    <t>مناديل ايجل معلقة على الحائط 4 طبقات 1200منديل</t>
  </si>
  <si>
    <t>egl-WSP12x40p</t>
  </si>
  <si>
    <t>ايجل فوط صحية نسائية كبير بالاجنحة 12شد×40فوطة</t>
  </si>
  <si>
    <t>egl-WTCP7OZ1K</t>
  </si>
  <si>
    <t>كاسات مياه بلاستيكية 7 اونص بيضاء 20شد×50ح</t>
  </si>
  <si>
    <t>gem-MXRLGM150</t>
  </si>
  <si>
    <t>رول غيم 150 متر</t>
  </si>
  <si>
    <t>gem-MXRLGM200</t>
  </si>
  <si>
    <t>رول غيم 200 متر</t>
  </si>
  <si>
    <t>gem-MXRLGM300</t>
  </si>
  <si>
    <t>رول غيم ثلاثمائة متر</t>
  </si>
  <si>
    <t>INM-SHOPBAG22</t>
  </si>
  <si>
    <t>اكياس علاقي مقاس 22</t>
  </si>
  <si>
    <t>INM-SHOPBAG24</t>
  </si>
  <si>
    <t>اكياس علاقي مقاس 24</t>
  </si>
  <si>
    <t>NDH-Plat.5REC</t>
  </si>
  <si>
    <t>صحن رقم نص مستطيل 30شد × 50ح</t>
  </si>
  <si>
    <t>NDH-Plat10DEB</t>
  </si>
  <si>
    <t>صحن رقم 10 عميق 20شد × 50ح</t>
  </si>
  <si>
    <t>NDH-Plat15DEB</t>
  </si>
  <si>
    <t>صحن رقم 15 عميق 20شد × 50ح</t>
  </si>
  <si>
    <t>NDH-Plat1RECT</t>
  </si>
  <si>
    <t>صحن رقم 1 مستطيل 20شد × 50ح</t>
  </si>
  <si>
    <t>NDH-Plat2RECT</t>
  </si>
  <si>
    <t>صحن رقم 2مستطيل 20شد × 50ح</t>
  </si>
  <si>
    <t>NDH-PLAT3RECT</t>
  </si>
  <si>
    <t>صحن رقم 3 مستطيل 20شد × 50ح</t>
  </si>
  <si>
    <t>NDH-spn.trn.s</t>
  </si>
  <si>
    <t>ملعقة بلاستيك شفاف صغيرة</t>
  </si>
  <si>
    <t>NDH-spn.wht.s</t>
  </si>
  <si>
    <t>ملعقة بلاستيك ابيض صغيرة</t>
  </si>
  <si>
    <t>NDH-SPN-BLK-L</t>
  </si>
  <si>
    <t>ملعقة بلاستيك اسود كبيرة</t>
  </si>
  <si>
    <t>NDH-SPN-WHT-L</t>
  </si>
  <si>
    <t>ملعقة بلاستيك ابيض كبيرة</t>
  </si>
  <si>
    <t>NDM-PC9OZFUTR</t>
  </si>
  <si>
    <t>كاسات ورقية فيوتشر 9 اونص بدون يد</t>
  </si>
  <si>
    <t>NMZ-Bigspnwht</t>
  </si>
  <si>
    <t>ملاعق كبير بيضاء 1000 ملعقة</t>
  </si>
  <si>
    <t>NMZ-Forkwhite</t>
  </si>
  <si>
    <t>شوكة بيضاء 1000 شوكة</t>
  </si>
  <si>
    <t>NMZ-Knifewhit</t>
  </si>
  <si>
    <t>سكين ابيض 1000  سكين</t>
  </si>
  <si>
    <t>NMZ-Smlspnwht</t>
  </si>
  <si>
    <t>ملاعق صغيرة بيضاء 1000ملعقة</t>
  </si>
  <si>
    <t>OSS-WTCP6OZ1K</t>
  </si>
  <si>
    <t>كاسات مياه بلاستيكية 6 اونص بيضاء 20شد×50ح</t>
  </si>
  <si>
    <t>RMN-FSB06S10K</t>
  </si>
  <si>
    <t>نايلون حفظ طعام باكت مقاس 6 وزن 10 كيلو</t>
  </si>
  <si>
    <t>RMN-FSB08S10K</t>
  </si>
  <si>
    <t>نايلون حفظ طعام باكت مقاس 8 وزن 10 كيلو</t>
  </si>
  <si>
    <t>RMN-FSB10P200</t>
  </si>
  <si>
    <t>اكياس حفظ طعام مقاس 10 عبوة 100×200جم</t>
  </si>
  <si>
    <t>RMN-FSB10S10K</t>
  </si>
  <si>
    <t>نايلون حفظ طعام باكت مقاس 10 وزن 10 كيلو</t>
  </si>
  <si>
    <t>RMN-FSB12P200</t>
  </si>
  <si>
    <t>اكياس حفظ طعام مقاس 12 عبوة 100×200جم</t>
  </si>
  <si>
    <t>RMN-FSB12S10K</t>
  </si>
  <si>
    <t>نايلون حفظ طعام باكت مقاس 12 وزن 10 كيلو</t>
  </si>
  <si>
    <t>RMN-FSB14P200</t>
  </si>
  <si>
    <t>اكياس حفظ طعام مقاس 14 عبوة 40×500جم</t>
  </si>
  <si>
    <t>RMN-FSB14S10K</t>
  </si>
  <si>
    <t>نايلون حفظ طعام باكت مقاس 14 وزن 10 كيلو</t>
  </si>
  <si>
    <t>RMN-FSB6P200G</t>
  </si>
  <si>
    <t>اكياس حفظ طعام مقاس 6 عبوة 100×200جم</t>
  </si>
  <si>
    <t>RMN-FSB8P200G</t>
  </si>
  <si>
    <t>اكياس حفظ طعام مقاس 8 عبوة 100×200جم</t>
  </si>
  <si>
    <t>RMN-SHP151500</t>
  </si>
  <si>
    <t xml:space="preserve">اكياس تسوق بالكرتون مقاس 15 1500 كيس </t>
  </si>
  <si>
    <t>RMN-SHP181500</t>
  </si>
  <si>
    <t xml:space="preserve">اكياس تسوق بالكرتون مقاس 18 1500 كيس </t>
  </si>
  <si>
    <t>RMN-SHP220800</t>
  </si>
  <si>
    <t xml:space="preserve">اكياس تسوق بالكرتون مقاس 22 800 كيس </t>
  </si>
  <si>
    <t>RMN-SHP280200</t>
  </si>
  <si>
    <t xml:space="preserve">اكياس تسوق بالكرتون مقاس 28 200 كيس </t>
  </si>
  <si>
    <t>RMN-SHP320150</t>
  </si>
  <si>
    <t xml:space="preserve">اكياس تسوق بالكرتون مقاس 32 150 كيس </t>
  </si>
  <si>
    <t>RMN-SHPBG1512</t>
  </si>
  <si>
    <t>اكياس تسوق 15 × 12</t>
  </si>
  <si>
    <t>RMN-SHPBG1810</t>
  </si>
  <si>
    <t xml:space="preserve">اكياس تسوق باله مقاس 18 10كيلو </t>
  </si>
  <si>
    <t>RMN-SHPBG2210</t>
  </si>
  <si>
    <t xml:space="preserve">اكياس تسوق باله مقاس 22 10كيلو </t>
  </si>
  <si>
    <t>RMN-SHPBG2212</t>
  </si>
  <si>
    <t>اكياس تسوق 22 × 12</t>
  </si>
  <si>
    <t>RMN-SHPBG2812</t>
  </si>
  <si>
    <t>اكياس تسوق 28 × 12</t>
  </si>
  <si>
    <t>RMN-TB5G10R4K</t>
  </si>
  <si>
    <t>اكياس نفايات رول 5 جالون 10 × 4ك</t>
  </si>
  <si>
    <t>RMN-TBR10G10R</t>
  </si>
  <si>
    <t>اكياس نفايات رول 10 جالون 10 رول</t>
  </si>
  <si>
    <t>RMN-TBR8G10RL</t>
  </si>
  <si>
    <t>اكياس نفايات رول 8 جالون 10رول</t>
  </si>
  <si>
    <t>RMN-TC1X20X6K</t>
  </si>
  <si>
    <t>سفرة رول مطبوع 1×20×6 كيلو</t>
  </si>
  <si>
    <t>spc-BCT101040</t>
  </si>
  <si>
    <t>مناديل حمام سيتي 100 منديل مزدوج 4شد×8+2ح</t>
  </si>
  <si>
    <t>spc-BMO201248</t>
  </si>
  <si>
    <t>مناديل حمام مشوار 200 منديل 4شد×9+3 ح</t>
  </si>
  <si>
    <t>spc-BMO900224</t>
  </si>
  <si>
    <t>مناديل حمام مشوار 24شد×2حبه ، 48 حبة</t>
  </si>
  <si>
    <t>spc-exx255212</t>
  </si>
  <si>
    <t>couch cover 25mtrs 52cm 1x12</t>
  </si>
  <si>
    <t>spc-FCD100636</t>
  </si>
  <si>
    <t>مناديل علب سيتي 100 مزدوج 6شد×6ح</t>
  </si>
  <si>
    <t>spc-FCN161050</t>
  </si>
  <si>
    <t>مناديل كيس سيتي 160 مزدوج 5شد×10ح</t>
  </si>
  <si>
    <t>spc-FCN900636</t>
  </si>
  <si>
    <t>مناديل علب سيتي 90 مزدوج 6شد×6ح</t>
  </si>
  <si>
    <t>spc-FCR160360</t>
  </si>
  <si>
    <t>مناديل كيس سيتي 160 مزدوج 20شد×3ح</t>
  </si>
  <si>
    <t>spc-FCR180360</t>
  </si>
  <si>
    <t>مناديل كيس سيتي 180 مزدوج 20شد×3ح</t>
  </si>
  <si>
    <t>spc-FCR180530</t>
  </si>
  <si>
    <t>مناديل كيس سيتي 180 مزدوج 6شد×5ح</t>
  </si>
  <si>
    <t>spc-FCR180660</t>
  </si>
  <si>
    <t>مناديل كيس سيتي 180 مزدوج 10شد×6ح</t>
  </si>
  <si>
    <t>spc-FCR181050</t>
  </si>
  <si>
    <t>مناديل كيس سيتي 180 مزدوج 5شد×10ح</t>
  </si>
  <si>
    <t>spc-FCT750636</t>
  </si>
  <si>
    <t>مناديل علب سيتي 75 مزدوج 6شد×6ح</t>
  </si>
  <si>
    <t>spc-FER151050</t>
  </si>
  <si>
    <t>مناديل كيس اكسلانس 150 مزدوج 5شد×10ح</t>
  </si>
  <si>
    <t>spc-FEX100636</t>
  </si>
  <si>
    <t>مناديل علب اكسلانس 100 مزدوج 6شد×6ح</t>
  </si>
  <si>
    <t>spc-FFR601040</t>
  </si>
  <si>
    <t>مناديل كيس فاشون ستمائة منديل مفرد 4شد×10ح</t>
  </si>
  <si>
    <t>spc-FMN100636</t>
  </si>
  <si>
    <t>مناديل علب مشوار 100 مزدوج 6شد × 6ح</t>
  </si>
  <si>
    <t>spc-Fmn181050</t>
  </si>
  <si>
    <t>مناديل كيس مشوار 180 منديل 5شدات ف 10حبات</t>
  </si>
  <si>
    <t>spc-FMN201050</t>
  </si>
  <si>
    <t>مناديل كيس مشوار 200 مزدوج 5شد×10ح</t>
  </si>
  <si>
    <t>spc-FMN900636</t>
  </si>
  <si>
    <t>مناديل علب مشوار 90مزدوج 6شد × 6ح</t>
  </si>
  <si>
    <t>spc-FPP100136</t>
  </si>
  <si>
    <t>مناديل برايم 100 مناديل 170x190مم 6شد×6ح</t>
  </si>
  <si>
    <t>spc-FRP201260</t>
  </si>
  <si>
    <t>مناديل كيس مشوار200 مزدوج  5شد×10+2ح</t>
  </si>
  <si>
    <t>spc-FVP180112</t>
  </si>
  <si>
    <t>مناديل جيب مشوار 12شد×18 ح</t>
  </si>
  <si>
    <t>spc-HXX255121</t>
  </si>
  <si>
    <t>مفارش سرير طبية .25سم×52سم.1×12</t>
  </si>
  <si>
    <t>spc-KCT382324</t>
  </si>
  <si>
    <t>مناديل مطبخ سيتي 23سم 4شد×6ح</t>
  </si>
  <si>
    <t>spc-KEX902816</t>
  </si>
  <si>
    <t>مناديل مطبخ اكسلانس  28سم 4شد×2 رول</t>
  </si>
  <si>
    <t>spc-KMO802816</t>
  </si>
  <si>
    <t>مناديل مطبخ مشوار28سم 8شد × 2حبه</t>
  </si>
  <si>
    <t>spc-KMR402324</t>
  </si>
  <si>
    <t>مناديل مطبخ مشوار23سم 4شد×6ح</t>
  </si>
  <si>
    <t>spc-KMU402824</t>
  </si>
  <si>
    <t>مناديل مطبخ مشوار28سم 3شد×6+2ح</t>
  </si>
  <si>
    <t>spc-KMU402836</t>
  </si>
  <si>
    <t>مناديل مطبخ مشوار28سم 3شد×9+3ح</t>
  </si>
  <si>
    <t>spc-MCG300006</t>
  </si>
  <si>
    <t>م رول سيتي اخضر ثلاثمائة  متر 6رول</t>
  </si>
  <si>
    <t>spc-MCR300006</t>
  </si>
  <si>
    <t>م رول سيتي احمر ثلاثمائة متر 6رول</t>
  </si>
  <si>
    <t>spc-MCT350006</t>
  </si>
  <si>
    <t>م رول سيتي ذهبي 350 متر 6رول</t>
  </si>
  <si>
    <t>spc-MCT750012</t>
  </si>
  <si>
    <t>م رول سيتي سبعمائة وخمسون شيت مفرد 1شد×12ح</t>
  </si>
  <si>
    <t>spc-MEY150006</t>
  </si>
  <si>
    <t>م رول مشوار اقتصادي 150 متر 3شد×2ح</t>
  </si>
  <si>
    <t>spc-MMN300006</t>
  </si>
  <si>
    <t>م رول مشوار احمر ثلاثمائة متر 6رول</t>
  </si>
  <si>
    <t>spc-MMO300006</t>
  </si>
  <si>
    <t>م رول مشوار اخضر ثلاثمائة متر 6رول</t>
  </si>
  <si>
    <t>spc-MMO350006</t>
  </si>
  <si>
    <t>م رول مشوار ازرق350 متر 6رول</t>
  </si>
  <si>
    <t>spc-TMO100040</t>
  </si>
  <si>
    <t>مناديل سفره نابكن مشوار 100 منديل 1شد×40ح</t>
  </si>
  <si>
    <t>spc-XIH150241</t>
  </si>
  <si>
    <t>انترفولد اخضر 150 منديل مفرد 1شد × 24 حبه</t>
  </si>
  <si>
    <t>spc-XIN150242</t>
  </si>
  <si>
    <t>انترفولد ازرق 150 منديل مزدوج 1شد × 24 حبه</t>
  </si>
  <si>
    <t>STR-FT90S4X10</t>
  </si>
  <si>
    <t>مناديل كيس نيو ديزين 90 منديل مزدوج 4شد × 10 ح</t>
  </si>
  <si>
    <t>STR-MRDBDO6PC</t>
  </si>
  <si>
    <t>م رول مطبخ دبدوب 1100 شيت  1شد×6ح</t>
  </si>
  <si>
    <t>STR-MRHNN12PC</t>
  </si>
  <si>
    <t>م رول حنين ثلاثمائة شيت 1شد×12ح</t>
  </si>
  <si>
    <t>stock quantity</t>
  </si>
  <si>
    <t>item code</t>
  </si>
  <si>
    <t>item name</t>
  </si>
  <si>
    <t>retail price</t>
  </si>
  <si>
    <t>discountshops price</t>
  </si>
  <si>
    <t>wholesale price</t>
  </si>
  <si>
    <t>retail price Q</t>
  </si>
  <si>
    <t>discountshops price Q</t>
  </si>
  <si>
    <t>wholesale price Q</t>
  </si>
  <si>
    <t>contract 5% price</t>
  </si>
  <si>
    <t>ea in ca</t>
  </si>
  <si>
    <t>image_ulr</t>
  </si>
  <si>
    <t>ca in pallete</t>
  </si>
  <si>
    <t>en_item_name</t>
  </si>
  <si>
    <t>https://i.ibb.co/rkcb4W8/AQS-BSKTBAG5-G.jpg</t>
  </si>
  <si>
    <t>BASKET BAGS AWAFI 5 GALLON</t>
  </si>
  <si>
    <t>BASKET BAGS AWAFI 8 GALLON</t>
  </si>
  <si>
    <t>BASKET BAGS AWAFI 10 GALLON</t>
  </si>
  <si>
    <t>https://i.ibb.co/mDWsX0t/AQS-FGNY10x10.jpg</t>
  </si>
  <si>
    <t>FOOD GRADE  NYLON  ROLL  SIZE 10 - 10 roll x 400 gm</t>
  </si>
  <si>
    <t>FOOD GRADE  NYLON  ROLL  SIZE 12 - 10 roll x 400 gm</t>
  </si>
  <si>
    <t>FOOD GRADE  NYLON  ROLL  SIZE 14 - 10 roll x 400 gm</t>
  </si>
  <si>
    <t>FOOD GRADE  NYLON  ROLL  SIZE 8 - 10 roll x 400 gm</t>
  </si>
  <si>
    <t>https://media.zid.store/13d60873-7d2b-4f29-8e09-c42a52e41018/4be0878b-28e7-48b2-a1cd-4ed459ccfff6.jpg</t>
  </si>
  <si>
    <t>SHOPPING BAGS 10KG SIZE 18</t>
  </si>
  <si>
    <t>https://media.zid.store/thumbs/15485eed-a600-4863-bc02-195da3a0fd71/cde3a1c0-5561-4250-afea-b937ade57b2b-thumbnail-1000x1000-70.webp</t>
  </si>
  <si>
    <t>SHOPPING BAGS 10KG SIZE 22</t>
  </si>
  <si>
    <t>https://i.ibb.co/VYrT0dM/AQS-TC4-RLx20-B.jpg</t>
  </si>
  <si>
    <t>Tablecovers awafi 4rolls 20bagsX4rolls 350gm</t>
  </si>
  <si>
    <t>https://i.ibb.co/FJ6d7fT/AQS-TCRL10-X1-R.jpg</t>
  </si>
  <si>
    <t>Tablecovers eagle roll 50 printed Tablecovers 10rlX400gm</t>
  </si>
  <si>
    <t>COVER FOR PAPER CUPS 9 OZ CRAFT</t>
  </si>
  <si>
    <t>PAPER CUPS 2.5 OZ WITHOUT HAND 20X50</t>
  </si>
  <si>
    <t>PAPER CUPS 4 OZ WITHOUT HAND 20X50</t>
  </si>
  <si>
    <t>PAPER CUPS 7 OZ WITH HAND 20X50</t>
  </si>
  <si>
    <t>PAPER CUPS 9 OZ CRAFT WITH COVER 20X50</t>
  </si>
  <si>
    <t>PAPER CUPS 9 OZ CRAFT 20X50</t>
  </si>
  <si>
    <t>PAPER CUPS 9 OZ WITH HAND 20X50</t>
  </si>
  <si>
    <t>Garbage bags  ROLL 50 gallons 1kg 1EA*10R</t>
  </si>
  <si>
    <t>Garbage bags ROLL 50 gallons 3.5 kg 1eax2R</t>
  </si>
  <si>
    <t>Garbage bags  ROLL 55 gallons 1kg 1EA*10R</t>
  </si>
  <si>
    <t>Garbage bags ROLL 55 gallons 3.5 kg 1EA x 2ROLL</t>
  </si>
  <si>
    <t>Garbage bags roll 55 gallons 8 kg 1 RL</t>
  </si>
  <si>
    <t>Garbage bags ROLL 70 gallons 3.5 kg 1EA x 2ROLL</t>
  </si>
  <si>
    <t>TRASH BAGS ROLL 50 GALLONS 5 KILO</t>
  </si>
  <si>
    <t>TRASH BAGS ROLL 50 GALLONS 7 KILO</t>
  </si>
  <si>
    <t>TRASH BAGS ROLL 55 GALLONS 5 KILO</t>
  </si>
  <si>
    <t>TRASH BAGS ROLL 55 GALLONS 7 KILO</t>
  </si>
  <si>
    <t>TRASH BAGS ROLL 70 GALLONS 5 KILO</t>
  </si>
  <si>
    <t>TRASH BAGS ROLL 70 GALLONS 7 KILO</t>
  </si>
  <si>
    <t>Table cover roll 4k 1roll</t>
  </si>
  <si>
    <t>Table cover roll 6k 1roll</t>
  </si>
  <si>
    <t>https://cdn.salla.sa/XzvvY/2de915cf-c950-4b19-bdf4-a5ad6ba1b0e0-500x500-Cn1ab5989q3efOPg6t6mkITtLJHIYxs4QnkfdpFe.png</t>
  </si>
  <si>
    <t>JUICE CUP 10 OZ 20PACK x 50PC BPF</t>
  </si>
  <si>
    <t>https://cdn.salla.sa/XGzNb/ecCekiE5bLbf3U8k9SFcETv8Mr8uod2jgTdaNbyP.jpg</t>
  </si>
  <si>
    <t>LID OF JUICE CUP 10 OZ 20PACK x 50PC BPF</t>
  </si>
  <si>
    <t>https://cdn.salla.sa/RADej/2XLUvkQJQFk5fdqtX5p76SAbKNHRIOlOibVN6lXs.jpg</t>
  </si>
  <si>
    <t xml:space="preserve"> RECTANGLE PLASTIC FOOD CONTAINER 1000ML BPF</t>
  </si>
  <si>
    <t xml:space="preserve"> RECTANGLE PLASTIC FOOD CONTAINER 2000ML BPF</t>
  </si>
  <si>
    <t>https://cdn.salla.sa/XGzNb/2f0JDrEKRKQqe6cZrxBjmanqCeo8KG0cWlTOqNHx.jpg</t>
  </si>
  <si>
    <t>PLASTIC BOX 200ML WITH LID ROUND WHITE 20PACK x 50PC BPF</t>
  </si>
  <si>
    <t>PLASTIC BOX 250ML WITH LID ROUND WHITE 20PACK x 50PC BPF</t>
  </si>
  <si>
    <t>PLASTIC BOX 350ML WITH LID ROUND WHITE 20PACK x 50PC BPF</t>
  </si>
  <si>
    <t>https://www.fawq-wasf.com.sa/image/cache/catalog/blastic/IMG_4310-550x550.JPG</t>
  </si>
  <si>
    <t>PLASTIC PLATES RECTANGLE SIZE HALF 20PACK x 50PC BPF</t>
  </si>
  <si>
    <t>https://cdn.salla.sa/WzDKq/4heKv5m2bvPN8QLPo0RA4sPMwWII57SHHhNOSfBE.jpg</t>
  </si>
  <si>
    <t>PLASTIC PLATES RECTANGLE SIZE 1 20PACK x 50PC BPF</t>
  </si>
  <si>
    <t>PLASTIC PLATES RECTANGLE SIZE 2 20PACK x 50PC BPF</t>
  </si>
  <si>
    <t>PLASTIC PLATES RECTANGLE SIZE 3 20PACK x 50PC BPF</t>
  </si>
  <si>
    <t>PLASTIC PLATES RECTANGLE SIZE 3 10PACK x 50PC BPF</t>
  </si>
  <si>
    <t>https://cdn.salla.sa/RADej/ardonY11xhC61vOTE71dtLxfYOpKxrqiFRyvhzd5.png</t>
  </si>
  <si>
    <t>SALAD POT PET CLEAR WITH LID SIZE 206 10PACK x 50PC BPFF</t>
  </si>
  <si>
    <t>SALAD POT PET CLEAR WITH LID SIZE 207 10PACK x 50PC BPFF</t>
  </si>
  <si>
    <t>SALAD POT PET CLEAR WITH LID SIZE 205 10PACK x 50PC BPFF</t>
  </si>
  <si>
    <t>https://media.zid.store/aedcd7a5-5001-4e13-aa19-e437a0007510/d4332643-48d1-43be-8fa0-e3640dd21696.jpg</t>
  </si>
  <si>
    <t>PLASTIC SPOON BLACK 20PACK x 50PC BPF</t>
  </si>
  <si>
    <t>https://cdn.salla.sa/albwv/mrLCQei9g3udMCFfA3Ant9T4wnbNgR7ZJeDLpyRA.jpg</t>
  </si>
  <si>
    <t>PLASTIC SPOON WHITE 20PACK x 50PC BPF</t>
  </si>
  <si>
    <t>https://media.zid.store/070f9b11-c67c-4eda-9461-08353ea8404e/47dd9d13-db33-4123-9d98-544e87f25300.png</t>
  </si>
  <si>
    <t>SAUCE CONTAINER BLACK WITH LID  2OZ 20PACK x 100PC BPF</t>
  </si>
  <si>
    <t>https://media.zid.store/070f9b11-c67c-4eda-9461-08353ea8404e/c5d1f7d6-8f16-4270-b8be-dd77830304d5.png</t>
  </si>
  <si>
    <t>SAUCE CONTAINER TRANSPARENT WITH LID 2OZ 20PACK x 100PC BPF</t>
  </si>
  <si>
    <t>https://cdn.salla.sa/O23DboaijC3kCEGw5klytXaEtETCpMsGUeU2TvLA.jpeg</t>
  </si>
  <si>
    <t>SAUCE CONTAINER WHITE WITH LID  2OZ 20PACK x 100PC BPF</t>
  </si>
  <si>
    <t>PAPER CUPS 2.5 OZ 20X50</t>
  </si>
  <si>
    <t>PAPER CUPS 7 OZ 20X50</t>
  </si>
  <si>
    <t>PAPER CUPS 9 OZ 20X50</t>
  </si>
  <si>
    <t>https://i.ibb.co/GTw2Cpd/FOIL24-X45-X6.jpg</t>
  </si>
  <si>
    <t>EAGLE ALUMINUM FOIL  24EA X 45CM X 6M</t>
  </si>
  <si>
    <t>https://i.ibb.co/8NpsjPs/FOIL6-X30-X85.jpg</t>
  </si>
  <si>
    <t>EAGLE ALUMINUM FOIL  6EA X 30CM X 85M</t>
  </si>
  <si>
    <t>https://i.ibb.co/vwmhKLT/FOIL6-X45-X85.jpg</t>
  </si>
  <si>
    <t>EAGLE ALUMINUM FOIL  6EA X 45CM X 85M</t>
  </si>
  <si>
    <t>https://i.ibb.co/Rb9N7j9/MANDY24-X30-X30.jpg</t>
  </si>
  <si>
    <t>EAGLE ALUMINUM FOIL MANDY  24EA X 30CM X 30M</t>
  </si>
  <si>
    <t>https://i.ibb.co/gZDsYFH/MANDY24-X45-X6.jpg</t>
  </si>
  <si>
    <t>EAGLE ALUMINUM FOIL MANDY  24EA X 45CM X 6M</t>
  </si>
  <si>
    <t>https://i.ibb.co/MsF4DZX/egl-BD2s6x74p.jpg</t>
  </si>
  <si>
    <t>Eagle baby Diapers S Size 2 - 6 packs x 74 Diapers</t>
  </si>
  <si>
    <t>Eagle baby Diapers M Size 3 - 6 packs x 74 Diapers</t>
  </si>
  <si>
    <t>Eagle baby Diapers L Size 4 - 6 packs x 74 Diapers</t>
  </si>
  <si>
    <t>Eagle baby Diapers XL Size 5 - 6 packs x 74 Diapers</t>
  </si>
  <si>
    <t>https://i.ibb.co/Hfsmz6F8/eco-diapers.jpg</t>
  </si>
  <si>
    <t>EAGLE ECONOMY LARGE DIAPERS SIZE4  20PACKS X 16DIAPERS</t>
  </si>
  <si>
    <t>EAGLE ECONOMY MEDIUM  DIAPERS SIZE3 20PACKS X 18DIAPERS</t>
  </si>
  <si>
    <t>EAGLE ECONOMY NEWBORN DIAPERS SIZE1 20PACKS X 22DIAPERS</t>
  </si>
  <si>
    <t>EAGLE ECONOMY SMALL DIAPERS SIZE2 20PACKS X 20DIAPERS</t>
  </si>
  <si>
    <t>EAGLE ECONOMY XLARGE DIAPERS SIZE5 20PACKS X 15DIAPERS</t>
  </si>
  <si>
    <t>EAGLE ECONOMY XXLARGE DIAPERS SIZE6 20PACKS X 14DIAPERS</t>
  </si>
  <si>
    <t>EAGLE BASKET BAGS 10 GALLON 10 ROLLS X 90 BAGS</t>
  </si>
  <si>
    <t>EAGLE BASKET BAGS 5 GALLON 10 ROLLS X 90 BAGS</t>
  </si>
  <si>
    <t>EAGLE BASKET BAGS 8 GALLON 10 ROLLS X 90 BAGS</t>
  </si>
  <si>
    <t>https://i.ibb.co/cgCdh0n/toilet.jpg</t>
  </si>
  <si>
    <t>BATH TISSUE EAGLE 40RL 4BNDx10EA</t>
  </si>
  <si>
    <t>https://i.ibb.co/VtnJX0H/CLING24-X30-X30.jpg</t>
  </si>
  <si>
    <t>EAGLE CLIING FILM  24EA X 30CM X 30M</t>
  </si>
  <si>
    <t>https://i.ibb.co/qJdrJ1n/CLING24-X45-X20.jpg</t>
  </si>
  <si>
    <t>EAGLE CLIING FILM  24EA X 45CM X 20M</t>
  </si>
  <si>
    <t>https://i.ibb.co/txqq0Jf/CLING6-X30-X200.jpg</t>
  </si>
  <si>
    <t>EAGLE CLIING FILM  6EA X 30CM X 200M</t>
  </si>
  <si>
    <t>https://i.ibb.co/KKKyWJj/cling-6ea-45cm-X200m-copy.jpg</t>
  </si>
  <si>
    <t>EAGLE CLIING FILM  6EA X 45CM X 200M</t>
  </si>
  <si>
    <t>EAGLE NYLON FOOD STORAGE ROLL SIZE 10 - 10 ROLLS X 400G</t>
  </si>
  <si>
    <t>EAGLE NYLON FOOD STORAGE ROLL SIZE 12 - 10 ROLLS X 400G</t>
  </si>
  <si>
    <t>EAGLE NYLON FOOD STORAGE ROLL SIZE 14 - 10 ROLLS X 400G</t>
  </si>
  <si>
    <t>EAGLE NYLON FOOD STORAGE ROLL SIZE 6 - 10 ROLLS X 400G</t>
  </si>
  <si>
    <t>EAGLE NYLON FOOD STORAGE ROLL SIZE 8 - 10 ROLLS X 400G</t>
  </si>
  <si>
    <t>https://i.ibb.co/DtvqKC3/150-12x5.jpg</t>
  </si>
  <si>
    <t>EAGLE 150SH 1PLY 12BND X 5PC</t>
  </si>
  <si>
    <t>https://i.ibb.co/ykNbVrV/150-6x10-Copy.jpg</t>
  </si>
  <si>
    <t>Eagle Facial,Tissue 150sh 1ply 5PACKSX10pc</t>
  </si>
  <si>
    <t>https://i.ibb.co/FX2z4qf/150-6x10.jpg</t>
  </si>
  <si>
    <t>Eagle Facial,Tissue 150sh 1ply 6EAX10pc</t>
  </si>
  <si>
    <t>https://i.ibb.co/852dHXH/150-6x5.jpg</t>
  </si>
  <si>
    <t>EAGLE TISSUE NYLONE 150SH 1PLY 6BND X 5PC</t>
  </si>
  <si>
    <t>https://i.ibb.co/k3ZkSwZ/300-10x3.jpg</t>
  </si>
  <si>
    <t>Eagle Facial,Tissue 300 sh 1ply 10EAX3pc gold</t>
  </si>
  <si>
    <t>https://i.ibb.co/qmML9Vs/300-10x6.jpg</t>
  </si>
  <si>
    <t>Eagle Facial,Tissue 300sh 1ply 10EAX6pc gold</t>
  </si>
  <si>
    <t>https://i.ibb.co/LtdRTsR/300-5x10.jpg</t>
  </si>
  <si>
    <t xml:space="preserve">  Eagle Facial,Tissue 300sh 1ply 5EAX 10pc gold</t>
  </si>
  <si>
    <t>https://i.ibb.co/GvdGNKj/300-6x5.jpg</t>
  </si>
  <si>
    <t>Eagle Facial,Tissue 300sh 1ply 6EAX 5pc gold</t>
  </si>
  <si>
    <t>Eagle Facial,Tissue three hundred sh 1ply 10EAX3pc white</t>
  </si>
  <si>
    <t>Eagle Facial,Tissue three hundred sh 1ply 10EA X 5pc white</t>
  </si>
  <si>
    <t xml:space="preserve">  Eagle Facial,Tissue three hundred sh 1ply 5EAX 10pc white</t>
  </si>
  <si>
    <t>Eagle Facial,Tissue hundred sh 1ply 6EAX 5pc white</t>
  </si>
  <si>
    <t>https://i.ibb.co/3h28j9p/600-4x10.jpg</t>
  </si>
  <si>
    <t>Eagle Facial,Tissue 600sh 1ply 4EA X 10pc</t>
  </si>
  <si>
    <t>https://i.ibb.co/y5dN0ZL/dublix-6x6.jpg</t>
  </si>
  <si>
    <t>FICIAL TISSUES EAGLE DUBLEX 150SH 6BND X 6PC</t>
  </si>
  <si>
    <t>https://i.ibb.co/qx7gS0J/dublix-9x4.jpg</t>
  </si>
  <si>
    <t>FICIAL TISSUES EAGLE DUBLEX 150SH 9BND X 4PC</t>
  </si>
  <si>
    <t>https://i.ibb.co/3sGwd5D/50g50bags.jpg</t>
  </si>
  <si>
    <t>Garbage bags Eagle 50 gallons 10K 10BNDX50BAGS</t>
  </si>
  <si>
    <t>Garbage bags Eagle 1Roll x3k 50 gallons</t>
  </si>
  <si>
    <t>https://i.ibb.co/ftyh4Kx/egl-GB70-G2-R3-K.jpg</t>
  </si>
  <si>
    <t>Garbage bags Eagle 2Roll x3k 50 gallons 6 kg</t>
  </si>
  <si>
    <t>Garbage bags Eagle 1Roll x3k 55 gallons</t>
  </si>
  <si>
    <t>Garbage bags Eagle 2Roll x3k 55 gallons 6 kg</t>
  </si>
  <si>
    <t>Garbage bags Eagle 1Roll x3k 70 gallons</t>
  </si>
  <si>
    <t>Garbage bags Eagle 2Roll x3k 70 gallons 6 kg</t>
  </si>
  <si>
    <t>https://i.ibb.co/YhkK5vC/trash6k.jpg</t>
  </si>
  <si>
    <t>Garbage bags Eagle Roll 50 gallons 6 kg</t>
  </si>
  <si>
    <t>Garbage bags Eagle Roll 55 gallons 6 kg</t>
  </si>
  <si>
    <t>Garbage bags Eagle Roll 70 gallons 6 kg</t>
  </si>
  <si>
    <t>https://i.ibb.co/ygNWWZF/interfoldmini.jpg</t>
  </si>
  <si>
    <t>EAGLE INTER FOLD GREEN 150 SHEET 1 PLY 24PC</t>
  </si>
  <si>
    <t>https://i.ibb.co/Q701hq6/egl-JMBRL3-Kx5.jpg</t>
  </si>
  <si>
    <t>Eagle Restaurant Jumbo Roll 3kg x 5pcs</t>
  </si>
  <si>
    <t>https://i.ibb.co/qY1qxY9/kitchen23cm.jpg</t>
  </si>
  <si>
    <t>K/T EAGLE ,23Cm 24RL,4BNDx6EA</t>
  </si>
  <si>
    <t>https://i.ibb.co/8DrdpJs6/kt-tissue-rolls-6x6.jpg</t>
  </si>
  <si>
    <t>K/T EAGLE ,23Cm 36RL,6BNDx6EA</t>
  </si>
  <si>
    <t>https://i.ibb.co/kxK3g9N/kitchen28cm.jpg</t>
  </si>
  <si>
    <t>KT,EAGLE,28CM,24,ROLL,3BNDx6+2,EA</t>
  </si>
  <si>
    <t>https://i.ibb.co/48hNmv5/maxi150m.jpg</t>
  </si>
  <si>
    <t xml:space="preserve"> Eagle Maxi Roll 150 M ECONOMIC 6RL</t>
  </si>
  <si>
    <t>https://i.ibb.co/zH9k0Vk/mx300.jpg</t>
  </si>
  <si>
    <t xml:space="preserve"> Eagle Maxi Roll 300 Mi Red 6RL</t>
  </si>
  <si>
    <t>https://i.ibb.co/Pjf47Bq/mx750sheet.jpg</t>
  </si>
  <si>
    <t>Eagle Maxi Roll 750 sheet green 6RL</t>
  </si>
  <si>
    <t xml:space="preserve"> Eagle Maxi Roll 300 M Red 6RL</t>
  </si>
  <si>
    <t>https://i.ibb.co/1RjGDw4/papet-cups.jpg</t>
  </si>
  <si>
    <t>Eagle paper cups 2 onz</t>
  </si>
  <si>
    <t>paper cups 9oz promo</t>
  </si>
  <si>
    <t>https://i.ibb.co/pQrHVTy/egl-PPRCUP9-OZ.jpg</t>
  </si>
  <si>
    <t>PAPER CUPS EAGLE 4 OZ 20X50</t>
  </si>
  <si>
    <t>PAPER CUPS EAGLE 7 OZ 20X50</t>
  </si>
  <si>
    <t>PAPER CUPS EAGLE 9 OZ 20X50</t>
  </si>
  <si>
    <t>LA VISTA Facial,Tissue SIX HUNDRED sh 1ply 4EA X 10pc</t>
  </si>
  <si>
    <t>https://i.ibb.co/DV5JSrv/tc4k.jpg</t>
  </si>
  <si>
    <t>Table Cover Eagle Roll 4K 1Roll</t>
  </si>
  <si>
    <t>https://i.ibb.co/v4j61wGd/tc4k.jpg</t>
  </si>
  <si>
    <t>EAGLE TABLE COVER FOR RESTURENT 4 KG</t>
  </si>
  <si>
    <t>https://i.ibb.co/YPytgk9/jumpo.jpg</t>
  </si>
  <si>
    <t>Eagle Table,Cover Roll Jumbo yellow 1x1.4 6eax20</t>
  </si>
  <si>
    <t>https://i.ibb.co/7KdXMb9/mini-jumpo.jpg</t>
  </si>
  <si>
    <t>Eagle Table,Cover Roll Mini Jumbo White 1x1.4 10eaX15</t>
  </si>
  <si>
    <t>https://i.ibb.co/6tnFfQf/tie-economi.jpg</t>
  </si>
  <si>
    <t>Eagle Tie,bag 30gal orange economic 10eax20</t>
  </si>
  <si>
    <t>Eagle Tie,bag 50gal red economic 10eax20</t>
  </si>
  <si>
    <t>https://i.ibb.co/twVkGLC9/tie-economi.jpg</t>
  </si>
  <si>
    <t>Eagle Tie,bag 50gal red high,thickness 15eax12</t>
  </si>
  <si>
    <t>https://i.ibb.co/0CXdxxg/tie-economi-blue-55.jpg</t>
  </si>
  <si>
    <t>Eagle Tie,bag 55gal blue economic 10eax20</t>
  </si>
  <si>
    <t>Eagle Tie,bag 55gal blue high,thickness 15eax12</t>
  </si>
  <si>
    <t>https://i.ibb.co/R0rTJbj/1k-50g-green-highthick.jpg</t>
  </si>
  <si>
    <t>Eagle Trash,bag 50gal green high,thickness 1k 15eax9</t>
  </si>
  <si>
    <t>https://i.ibb.co/TBmVNJz/terash.jpg</t>
  </si>
  <si>
    <t>Eagle Trash,bag 55gal yellow high,thickness 1k 15eax8</t>
  </si>
  <si>
    <t>https://i.ibb.co/KGGXBHL/water.jpg</t>
  </si>
  <si>
    <t xml:space="preserve"> WATER CUPS EAGLE 6OZ WHITE 20EA X 50PC</t>
  </si>
  <si>
    <t>Eagle wall-mounted tissue boxes 4ply 1200 tissues</t>
  </si>
  <si>
    <t>https://i.ibb.co/WHZ9P70/egl-WSP12x40p.jpg</t>
  </si>
  <si>
    <t>EAGLE Women sanitary Pads large with winges 12packX40pc</t>
  </si>
  <si>
    <t xml:space="preserve"> WATER CUPS 7OZ WHITE 20EA X 50PC</t>
  </si>
  <si>
    <t>https://i.ibb.co/Zf88C1Y/INM-SHOPBAG22.jpg</t>
  </si>
  <si>
    <t>SHOPPING BAG SIZE 22</t>
  </si>
  <si>
    <t>SHOPPING BAG SIZE 24</t>
  </si>
  <si>
    <t>Plate No. 5 Rectangular 30BNDx50PCS</t>
  </si>
  <si>
    <t>Plate No 10 DEEB 20BNDx50PCS</t>
  </si>
  <si>
    <t>Plate No 15 DEEB 20BNDx50PCS</t>
  </si>
  <si>
    <t>Plate No 1 Rectangular 20BNDx50PCS</t>
  </si>
  <si>
    <t>Plate No 2 Rectangular 20BNDx50PCS</t>
  </si>
  <si>
    <t>Plate No 3 Rectangular 20BNDx50PCS</t>
  </si>
  <si>
    <t>Small transparent plastic spoon</t>
  </si>
  <si>
    <t>small white plastic spoon</t>
  </si>
  <si>
    <t>LARGE BLACK plastic spoon</t>
  </si>
  <si>
    <t>LARGE white plastic spoon</t>
  </si>
  <si>
    <t xml:space="preserve">  FUTURE PAPER CUPS 9 OZ WITHOUT HAND</t>
  </si>
  <si>
    <t>https://i.ibb.co/6nKNG0h/spoon.jpg</t>
  </si>
  <si>
    <t>Big spoon white 1000 pc</t>
  </si>
  <si>
    <t>White fork 1000 pc</t>
  </si>
  <si>
    <t>https://i.ibb.co/t23mPN1/knife.jpg</t>
  </si>
  <si>
    <t>White knife 1000 pc</t>
  </si>
  <si>
    <t>Small spoon white 1000 pc</t>
  </si>
  <si>
    <t xml:space="preserve"> WATER CUPS 6OZ WHITE 20EA X 50PC</t>
  </si>
  <si>
    <t>https://m.media-amazon.com/images/I/21eGUTuHQoL.jpg</t>
  </si>
  <si>
    <t>FOOD STORAGE BAGS SIZE 6 10K</t>
  </si>
  <si>
    <t>FOOD STORAGE BAGS SIZE 8 10K</t>
  </si>
  <si>
    <t>FOOD STORAGE BAGS SIZE 10 PACK 100 X 200 GM</t>
  </si>
  <si>
    <t>FOOD STORAGE BAGS SIZE 10 10K</t>
  </si>
  <si>
    <t>FOOD STORAGE BAGS SIZE 12 PACK 100 X 200 GM</t>
  </si>
  <si>
    <t>FOOD STORAGE BAGS SIZE 12 10K</t>
  </si>
  <si>
    <t>FOOD STORAGE BAGS SIZE 14 PACK 40 X 500 GM</t>
  </si>
  <si>
    <t>FOOD STORAGE BAGS SIZE 14 10K</t>
  </si>
  <si>
    <t>FOOD STORAGE BAGS SIZE 6 PACK 100 X 200 GM</t>
  </si>
  <si>
    <t>FOOD STORAGE BAGS SIZE 8 PACK 100 X 200 GM</t>
  </si>
  <si>
    <t>SHOPPING BAGES CA SIZE 15 1500BAG</t>
  </si>
  <si>
    <t>SHOPPING BAGES CA SIZE 18 1500BAG</t>
  </si>
  <si>
    <t>SHOPPING BAGES CA SIZE 22 800BAG</t>
  </si>
  <si>
    <t>SHOPPING BAGES CA SIZE 28 200BAG</t>
  </si>
  <si>
    <t>SHOPPING BAGES CA SIZE 32 150BAG</t>
  </si>
  <si>
    <t>SHOPPING BAGES 15 X12</t>
  </si>
  <si>
    <t>SHOPPING BAGES  SIZE 18 10K</t>
  </si>
  <si>
    <t>SHOPPING BAGES  SIZE 22 10K</t>
  </si>
  <si>
    <t>SHOPPING BAGES 22 X12</t>
  </si>
  <si>
    <t>SHOPPING BAGES 28 X12</t>
  </si>
  <si>
    <t>TRASH BAGS ROLL 5 GALLONS 10 x 4 KG</t>
  </si>
  <si>
    <t>TRASH BAGS ROLL 10 GALLONS 10 ROLL</t>
  </si>
  <si>
    <t>TRASH BAGS ROLL 8 GALLONS 10 ROLL</t>
  </si>
  <si>
    <t>TABLE COVER ROLL PRINTED 1x20x6KG</t>
  </si>
  <si>
    <t>T/T,CITY,100's, 2PLY,4BNDx8+2</t>
  </si>
  <si>
    <t>BATH,TISSUE,MOUCHOIR, 200's,4BNDx9+3,Free</t>
  </si>
  <si>
    <t>BATH,TISSUE,MOUCHOIR, 24bundlx2pic, 48PIC</t>
  </si>
  <si>
    <t>Facial,Tissue,City, Duplex,100SH,6BNDx6</t>
  </si>
  <si>
    <t>FT,CITY,REFILL, S.COM,160SH,5BNDx10</t>
  </si>
  <si>
    <t>Facial,Tissue,City, Duplex,90SH,6BNDx6</t>
  </si>
  <si>
    <t>F/T,CITY,REFILL, 160's,20BNDx3,,2PLY</t>
  </si>
  <si>
    <t>F/T,CITY,REFILL, 180's,20BNDx3,,2PLY</t>
  </si>
  <si>
    <t>F/T,CITY,REFILL, 180's,6BNDx5,,2PLY</t>
  </si>
  <si>
    <t>FT,CITY,REFILL, S.COM,180SH,10BNDx6</t>
  </si>
  <si>
    <t>FT,CITY,REFILL, S.COM,180SH,5BNDx10</t>
  </si>
  <si>
    <t>Facial,Tissue,City, Duplex,75 SH,6BNDx6</t>
  </si>
  <si>
    <t>FT,RFL,EXCELLENCE, PRM,150's,5BNDx10</t>
  </si>
  <si>
    <t>FACIAL,TISSUE, EXCELLENCE,100SH,6BNDx6</t>
  </si>
  <si>
    <t>FT,REFILL FASHION, six hundred sh 1PLY,4BNDX10P</t>
  </si>
  <si>
    <t>F/T,MOUCHOIR,Duplex, 100's,6BNDx6,Prime,New</t>
  </si>
  <si>
    <t>REFILL MOUCH 180'S 5BAND X 10PC</t>
  </si>
  <si>
    <t>FT,REFILL,MOUCH, PRIME,200's,5BANDx10,New</t>
  </si>
  <si>
    <t>F/T,MOUCHOIR,Duplex, 90's,6BNDx6,Prime,New</t>
  </si>
  <si>
    <t>Prime 100sh 190x170mm 6eax6pc</t>
  </si>
  <si>
    <t>FTR,MOUCH,REF, RMD,PROMO,200's,5BNDx10+2</t>
  </si>
  <si>
    <t>FT,MOUCHOIR,VELVET, Pocket,Tissue,12BNDx18</t>
  </si>
  <si>
    <t>COUCH COVER, 25MTM,52CM,1X12</t>
  </si>
  <si>
    <t>K/T,CITY,38's, 23Cm,4BNDx6,2PLY</t>
  </si>
  <si>
    <t>KT,EXCELLENCE, 90CM,28CM,4BNDx2ROLL</t>
  </si>
  <si>
    <t>KT,MOUCHOIR,40CM, 28cm 8 bnd X 2ea</t>
  </si>
  <si>
    <t>KT,MOUCHOIR,40's, 23CM,24,ROLL,4BNDx6,NEW</t>
  </si>
  <si>
    <t>https://cdn.salla.sa/rXDRy/ByKzvadCNIDODTkKwHZG7sdLo1scSEPgojarOTnM.jpg</t>
  </si>
  <si>
    <t>KT,MOUCHOIR,40CM, 28CM,24,ROLL,3BNDx6+2,PRIM</t>
  </si>
  <si>
    <t>KT,MOUCHOIR,40'Sheets, 28Cm,3BNDx9+3,PRIME</t>
  </si>
  <si>
    <t>MR,CITY, three hundred M,6,ROLL,GREEN</t>
  </si>
  <si>
    <t>MR,CITY, three hundred mM,6,ROLL,RED</t>
  </si>
  <si>
    <t>MR,CITY, 350M GOLD,6,ROLL</t>
  </si>
  <si>
    <t>M/ROLL,CITY,Seven hunred and fifty, Sheets,1BNDx12,1PLY</t>
  </si>
  <si>
    <t>MR,ECONOMY, 150M,3BNDx2ROLL</t>
  </si>
  <si>
    <t>MR,MOUCHOIR, three hundred M,6,ROLL,RED</t>
  </si>
  <si>
    <t>MR,MOUCHOIR, three hundred M,6,ROLL,GREEN</t>
  </si>
  <si>
    <t>MR,MOUCHOIR, 350M,6,ROLL</t>
  </si>
  <si>
    <t>TABLE,NAPKIN, MOUCHOIR,100SH,40,,28CM</t>
  </si>
  <si>
    <t>INTER,FOLD,150SH, SCOM,24Cm,1PLY,1X24</t>
  </si>
  <si>
    <t>INTER,FOLD, 150SH,PRIME,2PLY</t>
  </si>
  <si>
    <t>Facial Tissue REFILL NEW DISGN 90SH 2PLY 4EAx10PC</t>
  </si>
  <si>
    <t>MAXI ROLL DABDOB 1100SHT 1EAX6PC</t>
  </si>
  <si>
    <t>M.R HANEEN THREE HUNDRED SHT 1EAX12PC</t>
  </si>
  <si>
    <t>https://i.ibb.co/KxGsCS2M/lavista.jpg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</si>
</sst>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86090"/>
        <bgColor rgb="FF286090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0" borderId="0" xfId="1"/>
    <xf numFmtId="0" fontId="3" fillId="3" borderId="0" xfId="0" applyFont="1" applyFill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right"/>
    </xf>
    <xf numFmtId="0" fontId="0" fillId="3" borderId="0" xfId="0" applyFill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alla\Downloads\Report_InventoryPriceList_14470619_114340.xlsx" TargetMode="External"/><Relationship Id="rId1" Type="http://schemas.openxmlformats.org/officeDocument/2006/relationships/externalLinkPath" Target="file:///C:\Users\abdalla\Downloads\Report_InventoryPriceList_14470619_1143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قائمة الاسعار"/>
    </sheetNames>
    <sheetDataSet>
      <sheetData sheetId="0">
        <row r="1">
          <cell r="A1" t="str">
            <v>رمز الصنف</v>
          </cell>
          <cell r="B1" t="str">
            <v>اسم الصنف</v>
          </cell>
          <cell r="C1" t="str">
            <v>المجموعة الضريبية للمدخلات</v>
          </cell>
          <cell r="D1" t="str">
            <v>المجموعة الضريبية للمخرجات</v>
          </cell>
          <cell r="E1" t="str">
            <v>رمز الوحده</v>
          </cell>
          <cell r="F1" t="str">
            <v>اسم الوحدة</v>
          </cell>
          <cell r="G1" t="str">
            <v>كسر الوحده</v>
          </cell>
          <cell r="H1" t="str">
            <v>سعر التجزئه</v>
          </cell>
          <cell r="I1" t="str">
            <v>عقود5</v>
          </cell>
        </row>
        <row r="2">
          <cell r="A2" t="str">
            <v>AQS-BSKTBAG5G</v>
          </cell>
          <cell r="B2" t="str">
            <v>اكياس سلة عوافي 5 جالون</v>
          </cell>
          <cell r="C2" t="str">
            <v>VAT</v>
          </cell>
          <cell r="D2" t="str">
            <v>VAT</v>
          </cell>
          <cell r="E2" t="str">
            <v>AQS-BSKTBAG5G</v>
          </cell>
          <cell r="F2" t="str">
            <v>CA</v>
          </cell>
          <cell r="G2" t="str">
            <v>1.00</v>
          </cell>
          <cell r="H2" t="str">
            <v>35.00</v>
          </cell>
          <cell r="I2" t="str">
            <v>34.00</v>
          </cell>
        </row>
        <row r="3">
          <cell r="A3" t="str">
            <v>AQS-BSKTBAG8G</v>
          </cell>
          <cell r="B3" t="str">
            <v>اكياس سلة عوافي 8 جالون</v>
          </cell>
          <cell r="C3" t="str">
            <v>VAT</v>
          </cell>
          <cell r="D3" t="str">
            <v>VAT</v>
          </cell>
          <cell r="E3" t="str">
            <v>AQS-BSKTBAG8G</v>
          </cell>
          <cell r="F3" t="str">
            <v>CA</v>
          </cell>
          <cell r="G3" t="str">
            <v>1.00</v>
          </cell>
          <cell r="H3" t="str">
            <v>35.00</v>
          </cell>
          <cell r="I3" t="str">
            <v>34.00</v>
          </cell>
        </row>
        <row r="4">
          <cell r="A4" t="str">
            <v>AQS-BSKTBG10G</v>
          </cell>
          <cell r="B4" t="str">
            <v xml:space="preserve">اكياس سلة عوافي 10 جالون </v>
          </cell>
          <cell r="C4" t="str">
            <v>VAT</v>
          </cell>
          <cell r="D4" t="str">
            <v>VAT</v>
          </cell>
          <cell r="E4" t="str">
            <v>AQS-BSKTBG10G</v>
          </cell>
          <cell r="F4" t="str">
            <v>CA</v>
          </cell>
          <cell r="G4" t="str">
            <v>1.00</v>
          </cell>
          <cell r="H4" t="str">
            <v>35.00</v>
          </cell>
          <cell r="I4" t="str">
            <v>34.00</v>
          </cell>
        </row>
        <row r="5">
          <cell r="A5" t="str">
            <v>AQS-FGNY10x10</v>
          </cell>
          <cell r="B5" t="str">
            <v>نايلون حفظ طعام رول مقاس10 - 10رول×400جم</v>
          </cell>
          <cell r="C5" t="str">
            <v>VAT</v>
          </cell>
          <cell r="D5" t="str">
            <v>VAT</v>
          </cell>
          <cell r="E5" t="str">
            <v>AQS-FGNY10x10</v>
          </cell>
          <cell r="F5" t="str">
            <v>CA</v>
          </cell>
          <cell r="G5" t="str">
            <v>1.00</v>
          </cell>
          <cell r="H5" t="str">
            <v>34.78</v>
          </cell>
          <cell r="I5" t="str">
            <v>34.78</v>
          </cell>
        </row>
        <row r="6">
          <cell r="A6" t="str">
            <v>AQS-FGNY12x10</v>
          </cell>
          <cell r="B6" t="str">
            <v>نايلون حفظ طعام رول مقاس12 - 10رول×400جم</v>
          </cell>
          <cell r="C6" t="str">
            <v>VAT</v>
          </cell>
          <cell r="D6" t="str">
            <v>VAT</v>
          </cell>
          <cell r="E6" t="str">
            <v>AQS-FGNY12x10</v>
          </cell>
          <cell r="F6" t="str">
            <v>CA</v>
          </cell>
          <cell r="G6" t="str">
            <v>1.00</v>
          </cell>
          <cell r="H6" t="str">
            <v>34.78</v>
          </cell>
          <cell r="I6" t="str">
            <v>34.78</v>
          </cell>
        </row>
        <row r="7">
          <cell r="A7" t="str">
            <v>AQS-FGNY14x10</v>
          </cell>
          <cell r="B7" t="str">
            <v>نايلون حفظ طعام رول مقاس14 - 10رول×400جم</v>
          </cell>
          <cell r="C7" t="str">
            <v>VAT</v>
          </cell>
          <cell r="D7" t="str">
            <v>VAT</v>
          </cell>
          <cell r="E7" t="str">
            <v>AQS-FGNY14x10</v>
          </cell>
          <cell r="F7" t="str">
            <v>CA</v>
          </cell>
          <cell r="G7" t="str">
            <v>1.00</v>
          </cell>
          <cell r="H7" t="str">
            <v>34.78</v>
          </cell>
          <cell r="I7" t="str">
            <v>34.78</v>
          </cell>
        </row>
        <row r="8">
          <cell r="A8" t="str">
            <v>AQS-FGNY8x10R</v>
          </cell>
          <cell r="B8" t="str">
            <v>نايلون حفظ طعام رول مقاس 8 - 10رول×400جم</v>
          </cell>
          <cell r="C8" t="str">
            <v>VAT</v>
          </cell>
          <cell r="D8" t="str">
            <v>VAT</v>
          </cell>
          <cell r="E8" t="str">
            <v>AQS-FGNY8x10R</v>
          </cell>
          <cell r="F8" t="str">
            <v>CA</v>
          </cell>
          <cell r="G8" t="str">
            <v>1.00</v>
          </cell>
          <cell r="H8" t="str">
            <v>34.78</v>
          </cell>
          <cell r="I8" t="str">
            <v>34.78</v>
          </cell>
        </row>
        <row r="9">
          <cell r="A9" t="str">
            <v>AQS-SHOPBGS18</v>
          </cell>
          <cell r="B9" t="str">
            <v>اكياس علاقي ازرق 10كيلو مقاس 18</v>
          </cell>
          <cell r="C9" t="str">
            <v>VAT</v>
          </cell>
          <cell r="D9" t="str">
            <v>VAT</v>
          </cell>
          <cell r="E9" t="str">
            <v>AQS-SHOPBGS18</v>
          </cell>
          <cell r="F9" t="str">
            <v>CA</v>
          </cell>
          <cell r="G9" t="str">
            <v>1.00</v>
          </cell>
          <cell r="H9" t="str">
            <v>64.00</v>
          </cell>
          <cell r="I9" t="str">
            <v>64.20</v>
          </cell>
        </row>
        <row r="10">
          <cell r="A10" t="str">
            <v>AQS-SHOPBGS22</v>
          </cell>
          <cell r="B10" t="str">
            <v>اكياس علاقي اصفر 10 كيلو مقاس 22</v>
          </cell>
          <cell r="C10" t="str">
            <v>VAT</v>
          </cell>
          <cell r="D10" t="str">
            <v>VAT</v>
          </cell>
          <cell r="E10" t="str">
            <v>AQS-SHOPBGS22</v>
          </cell>
          <cell r="F10" t="str">
            <v>CA</v>
          </cell>
          <cell r="G10" t="str">
            <v>1.00</v>
          </cell>
          <cell r="H10" t="str">
            <v>64.00</v>
          </cell>
          <cell r="I10" t="str">
            <v>64.20</v>
          </cell>
        </row>
        <row r="11">
          <cell r="A11" t="str">
            <v>AQS-TC4RLx20B</v>
          </cell>
          <cell r="B11" t="str">
            <v>مفارش سفرة عوافي 4رول  20شنطة*4رول 350جم</v>
          </cell>
          <cell r="C11" t="str">
            <v>VAT</v>
          </cell>
          <cell r="D11" t="str">
            <v>VAT</v>
          </cell>
          <cell r="E11" t="str">
            <v>AQS-TC4RLx20B</v>
          </cell>
          <cell r="F11" t="str">
            <v>CA</v>
          </cell>
          <cell r="G11" t="str">
            <v>1.00</v>
          </cell>
          <cell r="H11" t="str">
            <v>62.91</v>
          </cell>
          <cell r="I11" t="str">
            <v>62.91</v>
          </cell>
        </row>
        <row r="12">
          <cell r="A12" t="str">
            <v>AQS-TCRL10X1R</v>
          </cell>
          <cell r="B12" t="str">
            <v>مفارش سفره ايجل رول 50 مفرش مطبوع 10رول*400جم</v>
          </cell>
          <cell r="C12" t="str">
            <v>VAT</v>
          </cell>
          <cell r="D12" t="str">
            <v>VAT</v>
          </cell>
          <cell r="E12" t="str">
            <v>AQS-TCRL10X1R</v>
          </cell>
          <cell r="F12" t="str">
            <v>CA</v>
          </cell>
          <cell r="G12" t="str">
            <v>1.00</v>
          </cell>
          <cell r="H12" t="str">
            <v>33.38</v>
          </cell>
          <cell r="I12" t="str">
            <v>33.38</v>
          </cell>
        </row>
        <row r="13">
          <cell r="A13" t="str">
            <v>ARM-CVR9OZCRF</v>
          </cell>
          <cell r="B13" t="str">
            <v>غطاء اكواب ورقية  9 كرافت</v>
          </cell>
          <cell r="C13" t="str">
            <v>VAT</v>
          </cell>
          <cell r="D13" t="str">
            <v>VAT</v>
          </cell>
          <cell r="E13" t="str">
            <v>ARM-CVR9OZCRF</v>
          </cell>
          <cell r="F13" t="str">
            <v>CA</v>
          </cell>
          <cell r="G13" t="str">
            <v>1.00</v>
          </cell>
          <cell r="H13" t="str">
            <v>45.00</v>
          </cell>
          <cell r="I13" t="str">
            <v>43.05</v>
          </cell>
        </row>
        <row r="14">
          <cell r="A14" t="str">
            <v>ARM-PC2OZnoND</v>
          </cell>
          <cell r="B14" t="str">
            <v>كاسات ورقية 2.5 اونص بدون يد  20X50</v>
          </cell>
          <cell r="C14" t="str">
            <v>VAT</v>
          </cell>
          <cell r="D14" t="str">
            <v>VAT</v>
          </cell>
          <cell r="E14" t="str">
            <v>ARM-PC2OZnoND</v>
          </cell>
          <cell r="F14" t="str">
            <v>CA</v>
          </cell>
          <cell r="G14" t="str">
            <v>1.00</v>
          </cell>
          <cell r="H14" t="str">
            <v>31.00</v>
          </cell>
          <cell r="I14" t="str">
            <v>31.50</v>
          </cell>
        </row>
        <row r="15">
          <cell r="A15" t="str">
            <v>ARM-PC4OZnoND</v>
          </cell>
          <cell r="B15" t="str">
            <v>كاسات ورقية 4 اونص بدون يد  20X50</v>
          </cell>
          <cell r="C15" t="str">
            <v>VAT</v>
          </cell>
          <cell r="D15" t="str">
            <v>VAT</v>
          </cell>
          <cell r="E15" t="str">
            <v>ARM-PC4OZnoND</v>
          </cell>
          <cell r="F15" t="str">
            <v>CA</v>
          </cell>
          <cell r="G15" t="str">
            <v>1.00</v>
          </cell>
          <cell r="H15" t="str">
            <v>46.00</v>
          </cell>
          <cell r="I15" t="str">
            <v>46.20</v>
          </cell>
        </row>
        <row r="16">
          <cell r="A16" t="str">
            <v>ARM-PC7OZHAND</v>
          </cell>
          <cell r="B16" t="str">
            <v>كاسات ورقية 7 اونص بيد 20X50</v>
          </cell>
          <cell r="C16" t="str">
            <v>VAT</v>
          </cell>
          <cell r="D16" t="str">
            <v>VAT</v>
          </cell>
          <cell r="E16" t="str">
            <v>ARM-PC7OZHAND</v>
          </cell>
          <cell r="F16" t="str">
            <v>CA</v>
          </cell>
          <cell r="G16" t="str">
            <v>1.00</v>
          </cell>
          <cell r="H16" t="str">
            <v>59.00</v>
          </cell>
          <cell r="I16" t="str">
            <v>57.75</v>
          </cell>
        </row>
        <row r="17">
          <cell r="A17" t="str">
            <v>ARM-PC9CRFTCV</v>
          </cell>
          <cell r="B17" t="str">
            <v>كاسات ورقية 9 اونص كرفات مع غطاء 20X50</v>
          </cell>
          <cell r="C17" t="str">
            <v>VAT</v>
          </cell>
          <cell r="D17" t="str">
            <v>VAT</v>
          </cell>
          <cell r="E17" t="str">
            <v>ARM-PC9CRFTCV</v>
          </cell>
          <cell r="F17" t="str">
            <v>CA</v>
          </cell>
          <cell r="G17" t="str">
            <v>1.00</v>
          </cell>
          <cell r="H17" t="str">
            <v>142.00</v>
          </cell>
          <cell r="I17" t="str">
            <v>145.43</v>
          </cell>
        </row>
        <row r="18">
          <cell r="A18" t="str">
            <v>ARM-PC9OZCRFT</v>
          </cell>
          <cell r="B18" t="str">
            <v>كاسات ورقية 9 اونص كرفات 20X50</v>
          </cell>
          <cell r="C18" t="str">
            <v>VAT</v>
          </cell>
          <cell r="D18" t="str">
            <v>VAT</v>
          </cell>
          <cell r="E18" t="str">
            <v>ARM-PC9OZCRFT</v>
          </cell>
          <cell r="F18" t="str">
            <v>CA</v>
          </cell>
          <cell r="G18" t="str">
            <v>1.00</v>
          </cell>
          <cell r="H18" t="str">
            <v>102.00</v>
          </cell>
          <cell r="I18" t="str">
            <v>103.43</v>
          </cell>
        </row>
        <row r="19">
          <cell r="A19" t="str">
            <v>ARM-PC9OZHAND</v>
          </cell>
          <cell r="B19" t="str">
            <v>كاسات ورقية 9 اونص بيد 20X50</v>
          </cell>
          <cell r="C19" t="str">
            <v>VAT</v>
          </cell>
          <cell r="D19" t="str">
            <v>VAT</v>
          </cell>
          <cell r="E19" t="str">
            <v>ARM-PC9OZHAND</v>
          </cell>
          <cell r="F19" t="str">
            <v>CA</v>
          </cell>
          <cell r="G19" t="str">
            <v>1.00</v>
          </cell>
          <cell r="H19" t="str">
            <v>68.00</v>
          </cell>
          <cell r="I19" t="str">
            <v>67.20</v>
          </cell>
        </row>
        <row r="20">
          <cell r="A20" t="str">
            <v>BDR-GB50G1K10</v>
          </cell>
          <cell r="B20" t="str">
            <v>اكياس نفايا رول 50 جالون 1 كيلو 1شد*10رول</v>
          </cell>
          <cell r="C20" t="str">
            <v>VAT</v>
          </cell>
          <cell r="D20" t="str">
            <v>VAT</v>
          </cell>
          <cell r="E20" t="str">
            <v>BDR-GB50G1K10</v>
          </cell>
          <cell r="F20" t="str">
            <v>CA</v>
          </cell>
          <cell r="G20" t="str">
            <v>1.00</v>
          </cell>
          <cell r="H20" t="str">
            <v>60.00</v>
          </cell>
          <cell r="I20" t="str">
            <v>60.90</v>
          </cell>
        </row>
        <row r="21">
          <cell r="A21" t="str">
            <v>BDR-GB50G3.5K</v>
          </cell>
          <cell r="B21" t="str">
            <v>اكياس نفايا رول 50 جالون 3.5 كيلو 1شد*2رول</v>
          </cell>
          <cell r="C21" t="str">
            <v>VAT</v>
          </cell>
          <cell r="D21" t="str">
            <v>VAT</v>
          </cell>
          <cell r="E21" t="str">
            <v>BDR-GB50G3.5K</v>
          </cell>
          <cell r="F21" t="str">
            <v>CA</v>
          </cell>
          <cell r="G21" t="str">
            <v>1.00</v>
          </cell>
          <cell r="H21" t="str">
            <v>49.00</v>
          </cell>
          <cell r="I21" t="str">
            <v>48.30</v>
          </cell>
        </row>
        <row r="22">
          <cell r="A22" t="str">
            <v>BDR-GB55G1K10</v>
          </cell>
          <cell r="B22" t="str">
            <v>اكياس نفايا رول 55 جالون 1 كيلو 1شد*10رول</v>
          </cell>
          <cell r="C22" t="str">
            <v>VAT</v>
          </cell>
          <cell r="D22" t="str">
            <v>VAT</v>
          </cell>
          <cell r="E22" t="str">
            <v>BDR-GB55G1K10</v>
          </cell>
          <cell r="F22" t="str">
            <v>CA</v>
          </cell>
          <cell r="G22" t="str">
            <v>1.00</v>
          </cell>
          <cell r="H22" t="str">
            <v>60.00</v>
          </cell>
          <cell r="I22" t="str">
            <v>60.90</v>
          </cell>
        </row>
        <row r="23">
          <cell r="A23" t="str">
            <v>BDR-GB55G3.5K</v>
          </cell>
          <cell r="B23" t="str">
            <v>اكياس نفايا رول 55 جالون 3.5 كيلو 1شد*2رول</v>
          </cell>
          <cell r="C23" t="str">
            <v>VAT</v>
          </cell>
          <cell r="D23" t="str">
            <v>VAT</v>
          </cell>
          <cell r="E23" t="str">
            <v>BDR-GB55G3.5K</v>
          </cell>
          <cell r="F23" t="str">
            <v>CA</v>
          </cell>
          <cell r="G23" t="str">
            <v>1.00</v>
          </cell>
          <cell r="H23" t="str">
            <v>49.00</v>
          </cell>
          <cell r="I23" t="str">
            <v>48.30</v>
          </cell>
        </row>
        <row r="24">
          <cell r="A24" t="str">
            <v>BDR-GB55G8K1R</v>
          </cell>
          <cell r="B24" t="str">
            <v>اكياس نفايا رول 55 جالون 8 كيلو 1رول</v>
          </cell>
          <cell r="C24" t="str">
            <v>VAT</v>
          </cell>
          <cell r="D24" t="str">
            <v>VAT</v>
          </cell>
          <cell r="E24" t="str">
            <v>BDR-GB55G8K1R</v>
          </cell>
          <cell r="F24" t="str">
            <v>CA</v>
          </cell>
          <cell r="G24" t="str">
            <v>1.00</v>
          </cell>
          <cell r="H24" t="str">
            <v>52.00</v>
          </cell>
          <cell r="I24" t="str">
            <v>49.35</v>
          </cell>
        </row>
        <row r="25">
          <cell r="A25" t="str">
            <v>BDR-GB70G3-5K</v>
          </cell>
          <cell r="B25" t="str">
            <v>اكياس نفايا رول 70 جالون 3.5 كيلو 1شد*2رول</v>
          </cell>
          <cell r="C25" t="str">
            <v>VAT</v>
          </cell>
          <cell r="D25" t="str">
            <v>VAT</v>
          </cell>
          <cell r="E25" t="str">
            <v>BDR-GB70G3-5K</v>
          </cell>
          <cell r="F25" t="str">
            <v>CA</v>
          </cell>
          <cell r="G25" t="str">
            <v>1.00</v>
          </cell>
          <cell r="H25" t="str">
            <v>49.00</v>
          </cell>
          <cell r="I25" t="str">
            <v>48.30</v>
          </cell>
        </row>
        <row r="26">
          <cell r="A26" t="str">
            <v>BDR-GBR50G5KG</v>
          </cell>
          <cell r="B26" t="str">
            <v>اكياس نفايا رول 50 جالون وزن 5 كيلو</v>
          </cell>
          <cell r="C26" t="str">
            <v>VAT</v>
          </cell>
          <cell r="D26" t="str">
            <v>VAT</v>
          </cell>
          <cell r="E26" t="str">
            <v>BDR-GBR50G5KG</v>
          </cell>
          <cell r="F26" t="str">
            <v>CA</v>
          </cell>
          <cell r="G26" t="str">
            <v>1.00</v>
          </cell>
          <cell r="H26" t="str">
            <v>43.00</v>
          </cell>
          <cell r="I26" t="str">
            <v>39.90</v>
          </cell>
        </row>
        <row r="27">
          <cell r="A27" t="str">
            <v>BDR-GBR50G7KG</v>
          </cell>
          <cell r="B27" t="str">
            <v>اكياس نفايا رول 50 جالون وزن 7 كيلو</v>
          </cell>
          <cell r="C27" t="str">
            <v>VAT</v>
          </cell>
          <cell r="D27" t="str">
            <v>VAT</v>
          </cell>
          <cell r="E27" t="str">
            <v>BDR-GBR50G7KG</v>
          </cell>
          <cell r="F27" t="str">
            <v>CA</v>
          </cell>
          <cell r="G27" t="str">
            <v>1.00</v>
          </cell>
          <cell r="H27" t="str">
            <v>49.00</v>
          </cell>
          <cell r="I27" t="str">
            <v>47.25</v>
          </cell>
        </row>
        <row r="28">
          <cell r="A28" t="str">
            <v>BDR-GBR55G5KG</v>
          </cell>
          <cell r="B28" t="str">
            <v>اكياس نفايا رول 55 جالون وزن 5 كيلو</v>
          </cell>
          <cell r="C28" t="str">
            <v>VAT</v>
          </cell>
          <cell r="D28" t="str">
            <v>VAT</v>
          </cell>
          <cell r="E28" t="str">
            <v>BDR-GBR55G5KG</v>
          </cell>
          <cell r="F28" t="str">
            <v>CA</v>
          </cell>
          <cell r="G28" t="str">
            <v>1.00</v>
          </cell>
          <cell r="H28" t="str">
            <v>43.00</v>
          </cell>
          <cell r="I28" t="str">
            <v>39.90</v>
          </cell>
        </row>
        <row r="29">
          <cell r="A29" t="str">
            <v>BDR-GBR55G7KG</v>
          </cell>
          <cell r="B29" t="str">
            <v>اكياس نفايا رول 55 جالون وزن 7 كيلو</v>
          </cell>
          <cell r="C29" t="str">
            <v>VAT</v>
          </cell>
          <cell r="D29" t="str">
            <v>VAT</v>
          </cell>
          <cell r="E29" t="str">
            <v>BDR-GBR55G7KG</v>
          </cell>
          <cell r="F29" t="str">
            <v>CA</v>
          </cell>
          <cell r="G29" t="str">
            <v>1.00</v>
          </cell>
          <cell r="H29" t="str">
            <v>49.00</v>
          </cell>
          <cell r="I29" t="str">
            <v>47.25</v>
          </cell>
        </row>
        <row r="30">
          <cell r="A30" t="str">
            <v>BDR-GBR70G5KG</v>
          </cell>
          <cell r="B30" t="str">
            <v>اكياس نفايا رول 70 جالون وزن 5 كيلو</v>
          </cell>
          <cell r="C30" t="str">
            <v>VAT</v>
          </cell>
          <cell r="D30" t="str">
            <v>VAT</v>
          </cell>
          <cell r="E30" t="str">
            <v>BDR-GBR70G5KG</v>
          </cell>
          <cell r="F30" t="str">
            <v>CA</v>
          </cell>
          <cell r="G30" t="str">
            <v>1.00</v>
          </cell>
          <cell r="H30" t="str">
            <v>43.00</v>
          </cell>
          <cell r="I30" t="str">
            <v>39.90</v>
          </cell>
        </row>
        <row r="31">
          <cell r="A31" t="str">
            <v>BDR-GBR70G7KG</v>
          </cell>
          <cell r="B31" t="str">
            <v>اكياس نفايا رول70 جالون وزن 7 كليو</v>
          </cell>
          <cell r="C31" t="str">
            <v>VAT</v>
          </cell>
          <cell r="D31" t="str">
            <v>VAT</v>
          </cell>
          <cell r="E31" t="str">
            <v>BDR-GBR70G7KG</v>
          </cell>
          <cell r="F31" t="str">
            <v>CA</v>
          </cell>
          <cell r="G31" t="str">
            <v>1.00</v>
          </cell>
          <cell r="H31" t="str">
            <v>49.00</v>
          </cell>
          <cell r="I31" t="str">
            <v>47.25</v>
          </cell>
        </row>
        <row r="32">
          <cell r="A32" t="str">
            <v>BDR-TB4K1ROLL</v>
          </cell>
          <cell r="B32" t="str">
            <v>مفارش سفرة رول 4 كيلو 1رول</v>
          </cell>
          <cell r="C32" t="str">
            <v>VAT</v>
          </cell>
          <cell r="D32" t="str">
            <v>VAT</v>
          </cell>
          <cell r="E32" t="str">
            <v>BDR-TB4K1ROLL</v>
          </cell>
          <cell r="F32" t="str">
            <v>CA</v>
          </cell>
          <cell r="G32" t="str">
            <v>1.00</v>
          </cell>
          <cell r="H32" t="str">
            <v>38.00</v>
          </cell>
          <cell r="I32" t="str">
            <v>34.65</v>
          </cell>
        </row>
        <row r="33">
          <cell r="A33" t="str">
            <v>BDR-TB6K1ROLL</v>
          </cell>
          <cell r="B33" t="str">
            <v>مفارش سفرة رول 6 كيلو 1رول</v>
          </cell>
          <cell r="C33" t="str">
            <v>VAT</v>
          </cell>
          <cell r="D33" t="str">
            <v>VAT</v>
          </cell>
          <cell r="E33" t="str">
            <v>BDR-TB6K1ROLL</v>
          </cell>
          <cell r="F33" t="str">
            <v>CA</v>
          </cell>
          <cell r="G33" t="str">
            <v>1.00</v>
          </cell>
          <cell r="H33" t="str">
            <v>51.00</v>
          </cell>
          <cell r="I33" t="str">
            <v>48.30</v>
          </cell>
        </row>
        <row r="34">
          <cell r="A34" t="str">
            <v>BPF-JUCECUP10</v>
          </cell>
          <cell r="B34" t="str">
            <v>كوب عصير 10 اونص 20شد×50قطعة BPF</v>
          </cell>
          <cell r="C34" t="str">
            <v>VAT</v>
          </cell>
          <cell r="D34" t="str">
            <v>VAT</v>
          </cell>
          <cell r="E34" t="str">
            <v>BPF-JUCECUP10</v>
          </cell>
          <cell r="F34" t="str">
            <v>CA</v>
          </cell>
          <cell r="G34" t="str">
            <v>1.00</v>
          </cell>
          <cell r="H34" t="str">
            <v>90.00</v>
          </cell>
          <cell r="I34" t="str">
            <v>90.00</v>
          </cell>
        </row>
        <row r="35">
          <cell r="A35" t="str">
            <v>BPF-JUCELID10</v>
          </cell>
          <cell r="B35" t="str">
            <v>غطاء كوب عصير 10 اونص 20شد×50قطعة BPF</v>
          </cell>
          <cell r="C35" t="str">
            <v>VAT</v>
          </cell>
          <cell r="D35" t="str">
            <v>VAT</v>
          </cell>
          <cell r="E35" t="str">
            <v>BPF-JUCELID10</v>
          </cell>
          <cell r="F35" t="str">
            <v>CA</v>
          </cell>
          <cell r="G35" t="str">
            <v>1.00</v>
          </cell>
          <cell r="H35" t="str">
            <v>45.00</v>
          </cell>
          <cell r="I35" t="str">
            <v>45.00</v>
          </cell>
        </row>
        <row r="36">
          <cell r="A36" t="str">
            <v>BPF-PFC1000ML</v>
          </cell>
          <cell r="B36" t="str">
            <v>علبة طعام بلاستيكية 1000م مستطيل BPF</v>
          </cell>
          <cell r="C36" t="str">
            <v>VAT</v>
          </cell>
          <cell r="D36" t="str">
            <v>VAT</v>
          </cell>
          <cell r="E36" t="str">
            <v>BPF-PFC1000ML</v>
          </cell>
          <cell r="F36" t="str">
            <v>CA</v>
          </cell>
          <cell r="G36" t="str">
            <v>1.00</v>
          </cell>
          <cell r="H36" t="str">
            <v>90.00</v>
          </cell>
          <cell r="I36" t="str">
            <v>90.00</v>
          </cell>
        </row>
        <row r="37">
          <cell r="A37" t="str">
            <v>BPF-PFC2000ML</v>
          </cell>
          <cell r="B37" t="str">
            <v>علبة طعام بلاستيكية 2000م مستطيل BPF</v>
          </cell>
          <cell r="C37" t="str">
            <v>VAT</v>
          </cell>
          <cell r="D37" t="str">
            <v>VAT</v>
          </cell>
          <cell r="E37" t="str">
            <v>BPF-PFC2000ML</v>
          </cell>
          <cell r="F37" t="str">
            <v>CA</v>
          </cell>
          <cell r="G37" t="str">
            <v>1.00</v>
          </cell>
          <cell r="H37" t="str">
            <v>109.14</v>
          </cell>
          <cell r="I37" t="str">
            <v>109.14</v>
          </cell>
        </row>
        <row r="38">
          <cell r="A38" t="str">
            <v>BPF-PLSTBX200</v>
          </cell>
          <cell r="B38" t="str">
            <v>علب بلاستيك مع غطاء ساخن وبارد 200 ملي 20شد×50قطعة BPF</v>
          </cell>
          <cell r="C38" t="str">
            <v>VAT</v>
          </cell>
          <cell r="D38" t="str">
            <v>VAT</v>
          </cell>
          <cell r="E38" t="str">
            <v>BPF-PLSTBX200</v>
          </cell>
          <cell r="F38" t="str">
            <v>CA</v>
          </cell>
          <cell r="G38" t="str">
            <v>1.00</v>
          </cell>
          <cell r="H38" t="str">
            <v>116.00</v>
          </cell>
          <cell r="I38" t="str">
            <v>116.00</v>
          </cell>
        </row>
        <row r="39">
          <cell r="A39" t="str">
            <v>BPF-PLSTBX250</v>
          </cell>
          <cell r="B39" t="str">
            <v>علب بلاستيك مع غطاء ساخن وبارد 250 ملي 20شد×50قطعة BPF</v>
          </cell>
          <cell r="C39" t="str">
            <v>VAT</v>
          </cell>
          <cell r="D39" t="str">
            <v>VAT</v>
          </cell>
          <cell r="E39" t="str">
            <v>BPF-PLSTBX250</v>
          </cell>
          <cell r="F39" t="str">
            <v>CA</v>
          </cell>
          <cell r="G39" t="str">
            <v>1.00</v>
          </cell>
          <cell r="H39" t="str">
            <v>116.00</v>
          </cell>
          <cell r="I39" t="str">
            <v>116.00</v>
          </cell>
        </row>
        <row r="40">
          <cell r="A40" t="str">
            <v>BPF-PLSTBX350</v>
          </cell>
          <cell r="B40" t="str">
            <v>علب بلاستيك مع غطاء ساخن وبارد 350 ملي 20شد×50قطعة BPF</v>
          </cell>
          <cell r="C40" t="str">
            <v>VAT</v>
          </cell>
          <cell r="D40" t="str">
            <v>VAT</v>
          </cell>
          <cell r="E40" t="str">
            <v>BPF-PLSTBX350</v>
          </cell>
          <cell r="F40" t="str">
            <v>CA</v>
          </cell>
          <cell r="G40" t="str">
            <v>1.00</v>
          </cell>
          <cell r="H40" t="str">
            <v>145.09</v>
          </cell>
          <cell r="I40" t="str">
            <v>145.09</v>
          </cell>
        </row>
        <row r="41">
          <cell r="A41" t="str">
            <v>BPF-PPLTRECHF</v>
          </cell>
          <cell r="B41" t="str">
            <v>اطباق بلاستيكية مستطيلة مقاس نص 20شد×50قطعة BPF</v>
          </cell>
          <cell r="C41" t="str">
            <v>VAT</v>
          </cell>
          <cell r="D41" t="str">
            <v>VAT</v>
          </cell>
          <cell r="E41" t="str">
            <v>BPF-PPLTRECHF</v>
          </cell>
          <cell r="F41" t="str">
            <v>CA</v>
          </cell>
          <cell r="G41" t="str">
            <v>1.00</v>
          </cell>
          <cell r="H41" t="str">
            <v>27.00</v>
          </cell>
          <cell r="I41" t="str">
            <v>27.00</v>
          </cell>
        </row>
        <row r="42">
          <cell r="A42" t="str">
            <v>BPF-PPLTRECT1</v>
          </cell>
          <cell r="B42" t="str">
            <v>اطباق بلاستيكية مستطيلة مقاس1 20شد×50قطعة BPF</v>
          </cell>
          <cell r="C42" t="str">
            <v>VAT</v>
          </cell>
          <cell r="D42" t="str">
            <v>VAT</v>
          </cell>
          <cell r="E42" t="str">
            <v>BPF-PPLTRECT1</v>
          </cell>
          <cell r="F42" t="str">
            <v>CA</v>
          </cell>
          <cell r="G42" t="str">
            <v>1.00</v>
          </cell>
          <cell r="H42" t="str">
            <v>41.00</v>
          </cell>
          <cell r="I42" t="str">
            <v>41.00</v>
          </cell>
        </row>
        <row r="43">
          <cell r="A43" t="str">
            <v>BPF-PPLTRECT2</v>
          </cell>
          <cell r="B43" t="str">
            <v>اطباق بلاستيكية مستطيلة مقاس2 20شد×50قطعة BPF</v>
          </cell>
          <cell r="C43" t="str">
            <v>VAT</v>
          </cell>
          <cell r="D43" t="str">
            <v>VAT</v>
          </cell>
          <cell r="E43" t="str">
            <v>BPF-PPLTRECT2</v>
          </cell>
          <cell r="F43" t="str">
            <v>CA</v>
          </cell>
          <cell r="G43" t="str">
            <v>1.00</v>
          </cell>
          <cell r="H43" t="str">
            <v>73.50</v>
          </cell>
          <cell r="I43" t="str">
            <v>73.50</v>
          </cell>
        </row>
        <row r="44">
          <cell r="A44" t="str">
            <v>BPF-PPLTRECT3</v>
          </cell>
          <cell r="B44" t="str">
            <v>اطباق بلاستيكية مستطيلة مقاس 3 20شد×50قطعة BPF</v>
          </cell>
          <cell r="C44" t="str">
            <v>VAT</v>
          </cell>
          <cell r="D44" t="str">
            <v>VAT</v>
          </cell>
          <cell r="E44" t="str">
            <v>BPF-PPLTRECT3</v>
          </cell>
          <cell r="F44" t="str">
            <v>CA</v>
          </cell>
          <cell r="G44" t="str">
            <v>1.00</v>
          </cell>
          <cell r="H44" t="str">
            <v>104.00</v>
          </cell>
          <cell r="I44" t="str">
            <v>104.00</v>
          </cell>
        </row>
        <row r="45">
          <cell r="A45" t="str">
            <v>BPF-PPLTRECT4</v>
          </cell>
          <cell r="B45" t="str">
            <v>اطباق بلاستيكية مستطيلة مقاس 4 10شد×50قطعة BPF</v>
          </cell>
          <cell r="C45" t="str">
            <v>VAT</v>
          </cell>
          <cell r="D45" t="str">
            <v>VAT</v>
          </cell>
          <cell r="E45" t="str">
            <v>BPF-PPLTRECT4</v>
          </cell>
          <cell r="F45" t="str">
            <v>CA</v>
          </cell>
          <cell r="G45" t="str">
            <v>1.00</v>
          </cell>
          <cell r="H45" t="str">
            <v>90.00</v>
          </cell>
          <cell r="I45" t="str">
            <v>90.00</v>
          </cell>
        </row>
        <row r="46">
          <cell r="A46" t="str">
            <v>BPF-SLDCLR206</v>
          </cell>
          <cell r="B46" t="str">
            <v>علب سلطة شفاف مع غطاء مقاس206 10شد×50قطعة BPF</v>
          </cell>
          <cell r="C46" t="str">
            <v>VAT</v>
          </cell>
          <cell r="D46" t="str">
            <v>VAT</v>
          </cell>
          <cell r="E46" t="str">
            <v>BPF-SLDCLR206</v>
          </cell>
          <cell r="F46" t="str">
            <v>CA</v>
          </cell>
          <cell r="G46" t="str">
            <v>1.00</v>
          </cell>
          <cell r="H46" t="str">
            <v>62.35</v>
          </cell>
          <cell r="I46" t="str">
            <v>62.35</v>
          </cell>
        </row>
        <row r="47">
          <cell r="A47" t="str">
            <v>BPF-SLDCLR207</v>
          </cell>
          <cell r="B47" t="str">
            <v>علب سلطة شفاف مع غطاء مقاس207 10شد×50قطعة BPF</v>
          </cell>
          <cell r="C47" t="str">
            <v>VAT</v>
          </cell>
          <cell r="D47" t="str">
            <v>VAT</v>
          </cell>
          <cell r="E47" t="str">
            <v>BPF-SLDCLR207</v>
          </cell>
          <cell r="F47" t="str">
            <v>CA</v>
          </cell>
          <cell r="G47" t="str">
            <v>1.00</v>
          </cell>
          <cell r="H47" t="str">
            <v>58.00</v>
          </cell>
          <cell r="I47" t="str">
            <v>58.00</v>
          </cell>
        </row>
        <row r="48">
          <cell r="A48" t="str">
            <v>BPF-SLDCLRLID</v>
          </cell>
          <cell r="B48" t="str">
            <v>علب سلطة شفاف مع غطاء مقاس205 10شد×50قطعة BPF</v>
          </cell>
          <cell r="C48" t="str">
            <v>VAT</v>
          </cell>
          <cell r="D48" t="str">
            <v>VAT</v>
          </cell>
          <cell r="E48" t="str">
            <v>BPF-SLDCLRLID</v>
          </cell>
          <cell r="F48" t="str">
            <v>CA</v>
          </cell>
          <cell r="G48" t="str">
            <v>1.00</v>
          </cell>
          <cell r="H48" t="str">
            <v>58.00</v>
          </cell>
          <cell r="I48" t="str">
            <v>58.00</v>
          </cell>
        </row>
        <row r="49">
          <cell r="A49" t="str">
            <v>BPF-SPONBLACK</v>
          </cell>
          <cell r="B49" t="str">
            <v>ملعقة بلاستيكية سوداء 20شد×50قطعة BPF</v>
          </cell>
          <cell r="C49" t="str">
            <v>VAT</v>
          </cell>
          <cell r="D49" t="str">
            <v>VAT</v>
          </cell>
          <cell r="E49" t="str">
            <v>BPF-SPONBLACK</v>
          </cell>
          <cell r="F49" t="str">
            <v>CA</v>
          </cell>
          <cell r="G49" t="str">
            <v>1.00</v>
          </cell>
          <cell r="H49" t="str">
            <v>23.50</v>
          </cell>
          <cell r="I49" t="str">
            <v>23.50</v>
          </cell>
        </row>
        <row r="50">
          <cell r="A50" t="str">
            <v>BPF-SPONWHITE</v>
          </cell>
          <cell r="B50" t="str">
            <v>ملعقة بلاستيكية بيضاء 20شد×50قطعة BPF</v>
          </cell>
          <cell r="C50" t="str">
            <v>VAT</v>
          </cell>
          <cell r="D50" t="str">
            <v>VAT</v>
          </cell>
          <cell r="E50" t="str">
            <v>BPF-SPONWHITE</v>
          </cell>
          <cell r="F50" t="str">
            <v>CA</v>
          </cell>
          <cell r="G50" t="str">
            <v>1.00</v>
          </cell>
          <cell r="H50" t="str">
            <v>23.50</v>
          </cell>
          <cell r="I50" t="str">
            <v>23.50</v>
          </cell>
        </row>
        <row r="51">
          <cell r="A51" t="str">
            <v>BPF-SUCBXBLK2</v>
          </cell>
          <cell r="B51" t="str">
            <v>علبة صوص اسود مع غطاء 2اونص  20شد×100قطعة BPF</v>
          </cell>
          <cell r="C51" t="str">
            <v>VAT</v>
          </cell>
          <cell r="D51" t="str">
            <v>VAT</v>
          </cell>
          <cell r="E51" t="str">
            <v>BPF-SUCBXBLK2</v>
          </cell>
          <cell r="F51" t="str">
            <v>CA</v>
          </cell>
          <cell r="G51" t="str">
            <v>1.00</v>
          </cell>
          <cell r="H51" t="str">
            <v>90.00</v>
          </cell>
          <cell r="I51" t="str">
            <v>90.00</v>
          </cell>
        </row>
        <row r="52">
          <cell r="A52" t="str">
            <v>BPF-SUCBXCLR2</v>
          </cell>
          <cell r="B52" t="str">
            <v>علبة صوص شفاف مع غطاء 2اونص 20شد×100قطعة BPF</v>
          </cell>
          <cell r="C52" t="str">
            <v>VAT</v>
          </cell>
          <cell r="D52" t="str">
            <v>VAT</v>
          </cell>
          <cell r="E52" t="str">
            <v>BPF-SUCBXCLR2</v>
          </cell>
          <cell r="F52" t="str">
            <v>CA</v>
          </cell>
          <cell r="G52" t="str">
            <v>1.00</v>
          </cell>
          <cell r="H52" t="str">
            <v>90.00</v>
          </cell>
          <cell r="I52" t="str">
            <v>90.00</v>
          </cell>
        </row>
        <row r="53">
          <cell r="A53" t="str">
            <v>BPF-SUCBXWIT2</v>
          </cell>
          <cell r="B53" t="str">
            <v>علبة صوص بيضاء مع غطاء 2اونص 20شد×100قطعة BPF</v>
          </cell>
          <cell r="C53" t="str">
            <v>VAT</v>
          </cell>
          <cell r="D53" t="str">
            <v>VAT</v>
          </cell>
          <cell r="E53" t="str">
            <v>BPF-SUCBXWIT2</v>
          </cell>
          <cell r="F53" t="str">
            <v>CA</v>
          </cell>
          <cell r="G53" t="str">
            <v>1.00</v>
          </cell>
          <cell r="H53" t="str">
            <v>90.00</v>
          </cell>
          <cell r="I53" t="str">
            <v>90.00</v>
          </cell>
        </row>
        <row r="54">
          <cell r="A54" t="str">
            <v>CGF-PC2OZ2050</v>
          </cell>
          <cell r="B54" t="str">
            <v>كاسات ورقية 2.5 اونصة 20×50</v>
          </cell>
          <cell r="C54" t="str">
            <v>VAT</v>
          </cell>
          <cell r="D54" t="str">
            <v>VAT</v>
          </cell>
          <cell r="E54" t="str">
            <v>CGF-PC2OZ2050</v>
          </cell>
          <cell r="F54" t="str">
            <v>CA</v>
          </cell>
          <cell r="G54" t="str">
            <v>1.00</v>
          </cell>
          <cell r="H54" t="str">
            <v>28.00</v>
          </cell>
          <cell r="I54" t="str">
            <v>27.30</v>
          </cell>
        </row>
        <row r="55">
          <cell r="A55" t="str">
            <v>CGF-PC4OZ2050</v>
          </cell>
          <cell r="B55" t="str">
            <v>كاسات ورقية 4 اونصة 20×50</v>
          </cell>
          <cell r="C55" t="str">
            <v>VAT</v>
          </cell>
          <cell r="D55" t="str">
            <v>VAT</v>
          </cell>
          <cell r="E55" t="str">
            <v>CGF-PC4OZ2050</v>
          </cell>
          <cell r="F55" t="str">
            <v>CA</v>
          </cell>
          <cell r="G55" t="str">
            <v>1.00</v>
          </cell>
          <cell r="H55" t="str">
            <v>30.50</v>
          </cell>
          <cell r="I55" t="str">
            <v>30.00</v>
          </cell>
        </row>
        <row r="56">
          <cell r="A56" t="str">
            <v>CGF-PC7OZ2050</v>
          </cell>
          <cell r="B56" t="str">
            <v>كاسات ورقية 7 اونصة 20×50</v>
          </cell>
          <cell r="C56" t="str">
            <v>VAT</v>
          </cell>
          <cell r="D56" t="str">
            <v>VAT</v>
          </cell>
          <cell r="E56" t="str">
            <v>CGF-PC7OZ2050</v>
          </cell>
          <cell r="F56" t="str">
            <v>CA</v>
          </cell>
          <cell r="G56" t="str">
            <v>1.00</v>
          </cell>
          <cell r="H56" t="str">
            <v>38.00</v>
          </cell>
          <cell r="I56" t="str">
            <v>37.90</v>
          </cell>
        </row>
        <row r="57">
          <cell r="A57" t="str">
            <v>CGF-PC9OZ2050</v>
          </cell>
          <cell r="B57" t="str">
            <v>كاسات ورقية 8 اونص 20×50</v>
          </cell>
          <cell r="C57" t="str">
            <v>VAT</v>
          </cell>
          <cell r="D57" t="str">
            <v>VAT</v>
          </cell>
          <cell r="E57" t="str">
            <v>CGF-PC9OZ2050</v>
          </cell>
          <cell r="F57" t="str">
            <v>CA</v>
          </cell>
          <cell r="G57" t="str">
            <v>1.00</v>
          </cell>
          <cell r="H57" t="str">
            <v>41.30</v>
          </cell>
          <cell r="I57" t="str">
            <v>41.40</v>
          </cell>
        </row>
        <row r="58">
          <cell r="A58" t="str">
            <v>egl-1392CLICH</v>
          </cell>
          <cell r="B58" t="str">
            <v>كليشة طباعة</v>
          </cell>
          <cell r="C58" t="str">
            <v>VAT</v>
          </cell>
          <cell r="D58" t="str">
            <v>VAT</v>
          </cell>
          <cell r="E58" t="str">
            <v>egl-1392CLICH</v>
          </cell>
          <cell r="F58" t="str">
            <v>CA</v>
          </cell>
          <cell r="G58" t="str">
            <v>1.00</v>
          </cell>
          <cell r="H58" t="str">
            <v>0.00</v>
          </cell>
          <cell r="I58" t="str">
            <v>0.00</v>
          </cell>
        </row>
        <row r="59">
          <cell r="A59" t="str">
            <v>egl-AL24X45X6</v>
          </cell>
          <cell r="B59" t="str">
            <v>قصدير ايجل 24حبة ×45سم×6متر</v>
          </cell>
          <cell r="C59" t="str">
            <v>VAT</v>
          </cell>
          <cell r="D59" t="str">
            <v>VAT</v>
          </cell>
          <cell r="E59" t="str">
            <v>egl-AL24X45X6</v>
          </cell>
          <cell r="F59" t="str">
            <v>CA</v>
          </cell>
          <cell r="G59" t="str">
            <v>1.00</v>
          </cell>
          <cell r="H59" t="str">
            <v>111.24</v>
          </cell>
          <cell r="I59" t="str">
            <v>111.24</v>
          </cell>
        </row>
        <row r="60">
          <cell r="A60" t="str">
            <v>egl-AL6X30X85</v>
          </cell>
          <cell r="B60" t="str">
            <v>قصدير ايجل 6حبات × 30سم×85متر</v>
          </cell>
          <cell r="C60" t="str">
            <v>VAT</v>
          </cell>
          <cell r="D60" t="str">
            <v>VAT</v>
          </cell>
          <cell r="E60" t="str">
            <v>egl-AL6X30X85</v>
          </cell>
          <cell r="F60" t="str">
            <v>CA</v>
          </cell>
          <cell r="G60" t="str">
            <v>1.00</v>
          </cell>
          <cell r="H60" t="str">
            <v>113.53</v>
          </cell>
          <cell r="I60" t="str">
            <v>113.53</v>
          </cell>
        </row>
        <row r="61">
          <cell r="A61" t="str">
            <v>egl-AL6X45X85</v>
          </cell>
          <cell r="B61" t="str">
            <v>قصدير ايجل 6حبات ×45سم×85متر</v>
          </cell>
          <cell r="C61" t="str">
            <v>VAT</v>
          </cell>
          <cell r="D61" t="str">
            <v>VAT</v>
          </cell>
          <cell r="E61" t="str">
            <v>egl-AL6X45X85</v>
          </cell>
          <cell r="F61" t="str">
            <v>CA</v>
          </cell>
          <cell r="G61" t="str">
            <v>1.00</v>
          </cell>
          <cell r="H61" t="str">
            <v>162.26</v>
          </cell>
          <cell r="I61" t="str">
            <v>162.26</v>
          </cell>
        </row>
        <row r="62">
          <cell r="A62" t="str">
            <v>egl-ALM243030</v>
          </cell>
          <cell r="B62" t="str">
            <v>قصدير مندي ايجل 24حبة ×30سم×30متر</v>
          </cell>
          <cell r="C62" t="str">
            <v>VAT</v>
          </cell>
          <cell r="D62" t="str">
            <v>VAT</v>
          </cell>
          <cell r="E62" t="str">
            <v>egl-ALM243030</v>
          </cell>
          <cell r="F62" t="str">
            <v>CA</v>
          </cell>
          <cell r="G62" t="str">
            <v>1.00</v>
          </cell>
          <cell r="H62" t="str">
            <v>191.09</v>
          </cell>
          <cell r="I62" t="str">
            <v>191.09</v>
          </cell>
        </row>
        <row r="63">
          <cell r="A63" t="str">
            <v>egl-ALM24X456</v>
          </cell>
          <cell r="B63" t="str">
            <v>قصدير مندي ايجل 24حبة ×45سم×6متر</v>
          </cell>
          <cell r="C63" t="str">
            <v>VAT</v>
          </cell>
          <cell r="D63" t="str">
            <v>VAT</v>
          </cell>
          <cell r="E63" t="str">
            <v>egl-ALM24X456</v>
          </cell>
          <cell r="F63" t="str">
            <v>CA</v>
          </cell>
          <cell r="G63" t="str">
            <v>1.00</v>
          </cell>
          <cell r="H63" t="str">
            <v>85.56</v>
          </cell>
          <cell r="I63" t="str">
            <v>85.56</v>
          </cell>
        </row>
        <row r="64">
          <cell r="A64" t="str">
            <v>egl-BD2s6x74p</v>
          </cell>
          <cell r="B64" t="str">
            <v>ايجل حفائض اطفال مقاس2 6شد×74حفاض</v>
          </cell>
          <cell r="C64" t="str">
            <v>VAT</v>
          </cell>
          <cell r="D64" t="str">
            <v>VAT</v>
          </cell>
          <cell r="E64" t="str">
            <v>egl-BD2s6x74p</v>
          </cell>
          <cell r="F64" t="str">
            <v>CA</v>
          </cell>
          <cell r="G64" t="str">
            <v>1.00</v>
          </cell>
          <cell r="H64" t="str">
            <v>246.00</v>
          </cell>
          <cell r="I64" t="str">
            <v>258.91</v>
          </cell>
        </row>
        <row r="65">
          <cell r="A65" t="str">
            <v>egl-BD3m6x74p</v>
          </cell>
          <cell r="B65" t="str">
            <v>ايجل حفائض اطفال مقاس3 6شد×74حفاض</v>
          </cell>
          <cell r="C65" t="str">
            <v>VAT</v>
          </cell>
          <cell r="D65" t="str">
            <v>VAT</v>
          </cell>
          <cell r="E65" t="str">
            <v>egl-BD3m6x74p</v>
          </cell>
          <cell r="F65" t="str">
            <v>CA</v>
          </cell>
          <cell r="G65" t="str">
            <v>1.00</v>
          </cell>
          <cell r="H65" t="str">
            <v>246.00</v>
          </cell>
          <cell r="I65" t="str">
            <v>258.92</v>
          </cell>
        </row>
        <row r="66">
          <cell r="A66" t="str">
            <v>egl-BD4L6x74p</v>
          </cell>
          <cell r="B66" t="str">
            <v>ايجل حفائض اطفال مقاس4 6شد×74حفاض</v>
          </cell>
          <cell r="C66" t="str">
            <v>VAT</v>
          </cell>
          <cell r="D66" t="str">
            <v>VAT</v>
          </cell>
          <cell r="E66" t="str">
            <v>egl-BD4L6x74p</v>
          </cell>
          <cell r="F66" t="str">
            <v>CA</v>
          </cell>
          <cell r="G66" t="str">
            <v>1.00</v>
          </cell>
          <cell r="H66" t="str">
            <v>246.00</v>
          </cell>
          <cell r="I66" t="str">
            <v>258.92</v>
          </cell>
        </row>
        <row r="67">
          <cell r="A67" t="str">
            <v>egl-BD5XL6x74</v>
          </cell>
          <cell r="B67" t="str">
            <v>ايجل حفائض اطفال مقاس5 6شد×74حفاض</v>
          </cell>
          <cell r="C67" t="str">
            <v>VAT</v>
          </cell>
          <cell r="D67" t="str">
            <v>VAT</v>
          </cell>
          <cell r="E67" t="str">
            <v>egl-BD5XL6x74</v>
          </cell>
          <cell r="F67" t="str">
            <v>CA</v>
          </cell>
          <cell r="G67" t="str">
            <v>1.00</v>
          </cell>
          <cell r="H67" t="str">
            <v>246.00</v>
          </cell>
          <cell r="I67" t="str">
            <v>258.92</v>
          </cell>
        </row>
        <row r="68">
          <cell r="A68" t="str">
            <v>egl-BDLL20X16</v>
          </cell>
          <cell r="B68" t="str">
            <v>حفائض ايجل الاقتصادية مقاس4 20عبوة×16حفاض</v>
          </cell>
          <cell r="C68" t="str">
            <v>VAT</v>
          </cell>
          <cell r="D68" t="str">
            <v>VAT</v>
          </cell>
          <cell r="E68" t="str">
            <v>egl-BDLL20X16</v>
          </cell>
          <cell r="F68" t="str">
            <v>CA</v>
          </cell>
          <cell r="G68" t="str">
            <v>1.00</v>
          </cell>
          <cell r="H68" t="str">
            <v>158.62</v>
          </cell>
          <cell r="I68" t="str">
            <v>166.56</v>
          </cell>
        </row>
        <row r="69">
          <cell r="A69" t="str">
            <v>egl-BDMM20X18</v>
          </cell>
          <cell r="B69" t="str">
            <v>حفائض ايجل الاقتصادية مقاس3 20عبوة×18حفاض</v>
          </cell>
          <cell r="C69" t="str">
            <v>VAT</v>
          </cell>
          <cell r="D69" t="str">
            <v>VAT</v>
          </cell>
          <cell r="E69" t="str">
            <v>egl-BDMM20X18</v>
          </cell>
          <cell r="F69" t="str">
            <v>CA</v>
          </cell>
          <cell r="G69" t="str">
            <v>1.00</v>
          </cell>
          <cell r="H69" t="str">
            <v>158.62</v>
          </cell>
          <cell r="I69" t="str">
            <v>166.56</v>
          </cell>
        </row>
        <row r="70">
          <cell r="A70" t="str">
            <v>egl-BDNB20X22</v>
          </cell>
          <cell r="B70" t="str">
            <v>حفائض ايجل الاقتصادية حديثي الولادة  مقاس1 20عبوة×22حفاض</v>
          </cell>
          <cell r="C70" t="str">
            <v>VAT</v>
          </cell>
          <cell r="D70" t="str">
            <v>VAT</v>
          </cell>
          <cell r="E70" t="str">
            <v>egl-BDNB20X22</v>
          </cell>
          <cell r="F70" t="str">
            <v>CA</v>
          </cell>
          <cell r="G70" t="str">
            <v>1.00</v>
          </cell>
          <cell r="H70" t="str">
            <v>158.62</v>
          </cell>
          <cell r="I70" t="str">
            <v>166.56</v>
          </cell>
        </row>
        <row r="71">
          <cell r="A71" t="str">
            <v>egl-BDSS20X20</v>
          </cell>
          <cell r="B71" t="str">
            <v>حفائض ايجل الاقتصادية مقاس2 20عبوة×20حفاض</v>
          </cell>
          <cell r="C71" t="str">
            <v>VAT</v>
          </cell>
          <cell r="D71" t="str">
            <v>VAT</v>
          </cell>
          <cell r="E71" t="str">
            <v>egl-BDSS20X20</v>
          </cell>
          <cell r="F71" t="str">
            <v>CA</v>
          </cell>
          <cell r="G71" t="str">
            <v>1.00</v>
          </cell>
          <cell r="H71" t="str">
            <v>158.62</v>
          </cell>
          <cell r="I71" t="str">
            <v>166.56</v>
          </cell>
        </row>
        <row r="72">
          <cell r="A72" t="str">
            <v>egl-BDXL20X15</v>
          </cell>
          <cell r="B72" t="str">
            <v>حفائض ايجل الاقتصادية مقاس5 20عبوة×15حفاض</v>
          </cell>
          <cell r="C72" t="str">
            <v>VAT</v>
          </cell>
          <cell r="D72" t="str">
            <v>VAT</v>
          </cell>
          <cell r="E72" t="str">
            <v>egl-BDXL20X15</v>
          </cell>
          <cell r="F72" t="str">
            <v>CA</v>
          </cell>
          <cell r="G72" t="str">
            <v>1.00</v>
          </cell>
          <cell r="H72" t="str">
            <v>158.62</v>
          </cell>
          <cell r="I72" t="str">
            <v>166.56</v>
          </cell>
        </row>
        <row r="73">
          <cell r="A73" t="str">
            <v>egl-BDXXL2014</v>
          </cell>
          <cell r="B73" t="str">
            <v>حفائض ايجل الاقتصادية مقاس6 20عبوة×14حفاض</v>
          </cell>
          <cell r="C73" t="str">
            <v>VAT</v>
          </cell>
          <cell r="D73" t="str">
            <v>VAT</v>
          </cell>
          <cell r="E73" t="str">
            <v>egl-BDXXL2014</v>
          </cell>
          <cell r="F73" t="str">
            <v>CA</v>
          </cell>
          <cell r="G73" t="str">
            <v>1.00</v>
          </cell>
          <cell r="H73" t="str">
            <v>158.62</v>
          </cell>
          <cell r="I73" t="str">
            <v>166.56</v>
          </cell>
        </row>
        <row r="74">
          <cell r="A74" t="str">
            <v>egl-BSK10G10R</v>
          </cell>
          <cell r="B74" t="str">
            <v>ايجل اكياس سلة 10 جالون 10 رول × 90 كيس</v>
          </cell>
          <cell r="C74" t="str">
            <v>VAT</v>
          </cell>
          <cell r="D74" t="str">
            <v>VAT</v>
          </cell>
          <cell r="E74" t="str">
            <v>egl-BSK10G10R</v>
          </cell>
          <cell r="F74" t="str">
            <v>CA</v>
          </cell>
          <cell r="G74" t="str">
            <v>1.00</v>
          </cell>
          <cell r="H74" t="str">
            <v>34.03</v>
          </cell>
          <cell r="I74" t="str">
            <v>34.03</v>
          </cell>
        </row>
        <row r="75">
          <cell r="A75" t="str">
            <v>egl-BSKT5G10R</v>
          </cell>
          <cell r="B75" t="str">
            <v>ايجل اكياس سلة 5 جالون 10 رول × 90 كيس</v>
          </cell>
          <cell r="C75" t="str">
            <v>VAT</v>
          </cell>
          <cell r="D75" t="str">
            <v>VAT</v>
          </cell>
          <cell r="E75" t="str">
            <v>egl-BSKT5G10R</v>
          </cell>
          <cell r="F75" t="str">
            <v>CA</v>
          </cell>
          <cell r="G75" t="str">
            <v>1.00</v>
          </cell>
          <cell r="H75" t="str">
            <v>34.03</v>
          </cell>
          <cell r="I75" t="str">
            <v>34.03</v>
          </cell>
        </row>
        <row r="76">
          <cell r="A76" t="str">
            <v>egl-BSKT8G10R</v>
          </cell>
          <cell r="B76" t="str">
            <v>ايجل اكياس سلة 8 جالون 10 رول × 90 كيس</v>
          </cell>
          <cell r="C76" t="str">
            <v>VAT</v>
          </cell>
          <cell r="D76" t="str">
            <v>VAT</v>
          </cell>
          <cell r="E76" t="str">
            <v>egl-BSKT8G10R</v>
          </cell>
          <cell r="F76" t="str">
            <v>CA</v>
          </cell>
          <cell r="G76" t="str">
            <v>1.00</v>
          </cell>
          <cell r="H76" t="str">
            <v>34.03</v>
          </cell>
          <cell r="I76" t="str">
            <v>34.03</v>
          </cell>
        </row>
        <row r="77">
          <cell r="A77" t="str">
            <v>egl-BTH40R410</v>
          </cell>
          <cell r="B77" t="str">
            <v>مناديل حمام ايجل 40رول 4شد×10ح</v>
          </cell>
          <cell r="C77" t="str">
            <v>VAT</v>
          </cell>
          <cell r="D77" t="str">
            <v>VAT</v>
          </cell>
          <cell r="E77" t="str">
            <v>egl-BTH40R410</v>
          </cell>
          <cell r="F77" t="str">
            <v>CA</v>
          </cell>
          <cell r="G77" t="str">
            <v>1.00</v>
          </cell>
          <cell r="H77" t="str">
            <v>17.00</v>
          </cell>
          <cell r="I77" t="str">
            <v>16.84</v>
          </cell>
        </row>
        <row r="78">
          <cell r="A78" t="str">
            <v>egl-CL24X3030</v>
          </cell>
          <cell r="B78" t="str">
            <v>نايلون تغليف ايجل 24حبة×30سم×30متر</v>
          </cell>
          <cell r="C78" t="str">
            <v>VAT</v>
          </cell>
          <cell r="D78" t="str">
            <v>VAT</v>
          </cell>
          <cell r="E78" t="str">
            <v>egl-CL24X3030</v>
          </cell>
          <cell r="F78" t="str">
            <v>CA</v>
          </cell>
          <cell r="G78" t="str">
            <v>1.00</v>
          </cell>
          <cell r="H78" t="str">
            <v>55.79</v>
          </cell>
          <cell r="I78" t="str">
            <v>55.79</v>
          </cell>
        </row>
        <row r="79">
          <cell r="A79" t="str">
            <v>egl-CL24X4520</v>
          </cell>
          <cell r="B79" t="str">
            <v>نايلون تغليف ايجل 24حبة×45سم×20متر</v>
          </cell>
          <cell r="C79" t="str">
            <v>VAT</v>
          </cell>
          <cell r="D79" t="str">
            <v>VAT</v>
          </cell>
          <cell r="E79" t="str">
            <v>egl-CL24X4520</v>
          </cell>
          <cell r="F79" t="str">
            <v>CA</v>
          </cell>
          <cell r="G79" t="str">
            <v>1.00</v>
          </cell>
          <cell r="H79" t="str">
            <v>66.31</v>
          </cell>
          <cell r="I79" t="str">
            <v>66.31</v>
          </cell>
        </row>
        <row r="80">
          <cell r="A80" t="str">
            <v>egl-CL6X30200</v>
          </cell>
          <cell r="B80" t="str">
            <v>نايلون تغليف ايجل 6حبات×30سم×200متر</v>
          </cell>
          <cell r="C80" t="str">
            <v>VAT</v>
          </cell>
          <cell r="D80" t="str">
            <v>VAT</v>
          </cell>
          <cell r="E80" t="str">
            <v>egl-CL6X30200</v>
          </cell>
          <cell r="F80" t="str">
            <v>CA</v>
          </cell>
          <cell r="G80" t="str">
            <v>1.00</v>
          </cell>
          <cell r="H80" t="str">
            <v>61.58</v>
          </cell>
          <cell r="I80" t="str">
            <v>61.58</v>
          </cell>
        </row>
        <row r="81">
          <cell r="A81" t="str">
            <v>egl-CL6X45200</v>
          </cell>
          <cell r="B81" t="str">
            <v>نايلون تغليف ايجل 6حبات×45سم×200متر</v>
          </cell>
          <cell r="C81" t="str">
            <v>VAT</v>
          </cell>
          <cell r="D81" t="str">
            <v>VAT</v>
          </cell>
          <cell r="E81" t="str">
            <v>egl-CL6X45200</v>
          </cell>
          <cell r="F81" t="str">
            <v>CA</v>
          </cell>
          <cell r="G81" t="str">
            <v>1.00</v>
          </cell>
          <cell r="H81" t="str">
            <v>79.55</v>
          </cell>
          <cell r="I81" t="str">
            <v>79.55</v>
          </cell>
        </row>
        <row r="82">
          <cell r="A82" t="str">
            <v>egl-Fny10x10R</v>
          </cell>
          <cell r="B82" t="str">
            <v>ايجل نايلون حفظ طعام رول مقاس10 - 10رول×400جم</v>
          </cell>
          <cell r="C82" t="str">
            <v>VAT</v>
          </cell>
          <cell r="D82" t="str">
            <v>VAT</v>
          </cell>
          <cell r="E82" t="str">
            <v>egl-Fny10x10R</v>
          </cell>
          <cell r="F82" t="str">
            <v>CA</v>
          </cell>
          <cell r="G82" t="str">
            <v>1.00</v>
          </cell>
          <cell r="H82" t="str">
            <v>34.67</v>
          </cell>
          <cell r="I82" t="str">
            <v>34.67</v>
          </cell>
        </row>
        <row r="83">
          <cell r="A83" t="str">
            <v>egl-Fny12x10R</v>
          </cell>
          <cell r="B83" t="str">
            <v>ايجل نايلون حفظ طعام رول مقاس12 - 10رول×400جم</v>
          </cell>
          <cell r="C83" t="str">
            <v>VAT</v>
          </cell>
          <cell r="D83" t="str">
            <v>VAT</v>
          </cell>
          <cell r="E83" t="str">
            <v>egl-Fny12x10R</v>
          </cell>
          <cell r="F83" t="str">
            <v>CA</v>
          </cell>
          <cell r="G83" t="str">
            <v>1.00</v>
          </cell>
          <cell r="H83" t="str">
            <v>34.67</v>
          </cell>
          <cell r="I83" t="str">
            <v>34.67</v>
          </cell>
        </row>
        <row r="84">
          <cell r="A84" t="str">
            <v>egl-Fny14x10R</v>
          </cell>
          <cell r="B84" t="str">
            <v>ايجل نايلون حفظ طعام رول مقاس14 - 10رول×400جم</v>
          </cell>
          <cell r="C84" t="str">
            <v>VAT</v>
          </cell>
          <cell r="D84" t="str">
            <v>VAT</v>
          </cell>
          <cell r="E84" t="str">
            <v>egl-Fny14x10R</v>
          </cell>
          <cell r="F84" t="str">
            <v>CA</v>
          </cell>
          <cell r="G84" t="str">
            <v>1.00</v>
          </cell>
          <cell r="H84" t="str">
            <v>34.67</v>
          </cell>
          <cell r="I84" t="str">
            <v>34.67</v>
          </cell>
        </row>
        <row r="85">
          <cell r="A85" t="str">
            <v>egl-FOny6x10R</v>
          </cell>
          <cell r="B85" t="str">
            <v>ايجل نايلون حفظ طعام رول مقاس 6 - 10رول×400جم</v>
          </cell>
          <cell r="C85" t="str">
            <v>VAT</v>
          </cell>
          <cell r="D85" t="str">
            <v>VAT</v>
          </cell>
          <cell r="E85" t="str">
            <v>egl-FOny6x10R</v>
          </cell>
          <cell r="F85" t="str">
            <v>CA</v>
          </cell>
          <cell r="G85" t="str">
            <v>1.00</v>
          </cell>
          <cell r="H85" t="str">
            <v>34.67</v>
          </cell>
          <cell r="I85" t="str">
            <v>34.67</v>
          </cell>
        </row>
        <row r="86">
          <cell r="A86" t="str">
            <v>egl-FOny8x10R</v>
          </cell>
          <cell r="B86" t="str">
            <v>ايجل نايلون حفظ طعام رول مقاس 8 - 10رول×400جم</v>
          </cell>
          <cell r="C86" t="str">
            <v>VAT</v>
          </cell>
          <cell r="D86" t="str">
            <v>VAT</v>
          </cell>
          <cell r="E86" t="str">
            <v>egl-FOny8x10R</v>
          </cell>
          <cell r="F86" t="str">
            <v>CA</v>
          </cell>
          <cell r="G86" t="str">
            <v>1.00</v>
          </cell>
          <cell r="H86" t="str">
            <v>34.67</v>
          </cell>
          <cell r="I86" t="str">
            <v>34.67</v>
          </cell>
        </row>
        <row r="87">
          <cell r="A87" t="str">
            <v>egl-Freeoffer</v>
          </cell>
          <cell r="B87" t="str">
            <v xml:space="preserve">اكياس نفايا ايجل </v>
          </cell>
          <cell r="C87" t="str">
            <v>VAT</v>
          </cell>
          <cell r="D87" t="str">
            <v>VAT</v>
          </cell>
          <cell r="E87" t="str">
            <v>egl-Freeoffer</v>
          </cell>
          <cell r="F87" t="str">
            <v>CA</v>
          </cell>
          <cell r="G87" t="str">
            <v>1.00</v>
          </cell>
          <cell r="H87" t="str">
            <v>0.03</v>
          </cell>
          <cell r="I87" t="str">
            <v>0.03</v>
          </cell>
        </row>
        <row r="88">
          <cell r="A88" t="str">
            <v>egl-Ft15012x5</v>
          </cell>
          <cell r="B88" t="str">
            <v xml:space="preserve">مناديل كيس ايجل 150منديل مفرد 12شد×5ح </v>
          </cell>
          <cell r="C88" t="str">
            <v>VAT</v>
          </cell>
          <cell r="D88" t="str">
            <v>VAT</v>
          </cell>
          <cell r="E88" t="str">
            <v>egl-Ft15012x5</v>
          </cell>
          <cell r="F88" t="str">
            <v>CA</v>
          </cell>
          <cell r="G88" t="str">
            <v>1.00</v>
          </cell>
          <cell r="H88" t="str">
            <v>44.00</v>
          </cell>
          <cell r="I88" t="str">
            <v>44.20</v>
          </cell>
        </row>
        <row r="89">
          <cell r="A89" t="str">
            <v>egl-FT150s510</v>
          </cell>
          <cell r="B89" t="str">
            <v xml:space="preserve">مناديل كيس ايجل 150منديل مفرد 5شد×10ح </v>
          </cell>
          <cell r="C89" t="str">
            <v>VAT</v>
          </cell>
          <cell r="D89" t="str">
            <v>VAT</v>
          </cell>
          <cell r="E89" t="str">
            <v>egl-FT150s510</v>
          </cell>
          <cell r="F89" t="str">
            <v>CA</v>
          </cell>
          <cell r="G89" t="str">
            <v>1.00</v>
          </cell>
          <cell r="H89" t="str">
            <v>37.36</v>
          </cell>
          <cell r="I89" t="str">
            <v>37.36</v>
          </cell>
        </row>
        <row r="90">
          <cell r="A90" t="str">
            <v>egl-FT150s610</v>
          </cell>
          <cell r="B90" t="str">
            <v xml:space="preserve">مناديل كيس ايجل 150منديل مفرد 6شد×10ح </v>
          </cell>
          <cell r="C90" t="str">
            <v>VAT</v>
          </cell>
          <cell r="D90" t="str">
            <v>VAT</v>
          </cell>
          <cell r="E90" t="str">
            <v>egl-FT150s610</v>
          </cell>
          <cell r="F90" t="str">
            <v>CA</v>
          </cell>
          <cell r="G90" t="str">
            <v>1.00</v>
          </cell>
          <cell r="H90" t="str">
            <v>44.00</v>
          </cell>
          <cell r="I90" t="str">
            <v>44.20</v>
          </cell>
        </row>
        <row r="91">
          <cell r="A91" t="str">
            <v>egl-Ft150S6x5</v>
          </cell>
          <cell r="B91" t="str">
            <v xml:space="preserve">مناديل كيس ايجل 150منديل مفرد 6شد×5ح </v>
          </cell>
          <cell r="C91" t="str">
            <v>VAT</v>
          </cell>
          <cell r="D91" t="str">
            <v>VAT</v>
          </cell>
          <cell r="E91" t="str">
            <v>egl-Ft150S6x5</v>
          </cell>
          <cell r="F91" t="str">
            <v>CA</v>
          </cell>
          <cell r="G91" t="str">
            <v>1.00</v>
          </cell>
          <cell r="H91" t="str">
            <v>23.00</v>
          </cell>
          <cell r="I91" t="str">
            <v>22.62</v>
          </cell>
        </row>
        <row r="92">
          <cell r="A92" t="str">
            <v>egl-FT300g103</v>
          </cell>
          <cell r="B92" t="str">
            <v>مناديل كيس ايجل 300 منديل مفرد 10شد×3ح ذهبي</v>
          </cell>
          <cell r="C92" t="str">
            <v>VAT</v>
          </cell>
          <cell r="D92" t="str">
            <v>VAT</v>
          </cell>
          <cell r="E92" t="str">
            <v>egl-FT300g103</v>
          </cell>
          <cell r="F92" t="str">
            <v>CA</v>
          </cell>
          <cell r="G92" t="str">
            <v>1.00</v>
          </cell>
          <cell r="H92" t="str">
            <v>35.49</v>
          </cell>
          <cell r="I92" t="str">
            <v>35.23</v>
          </cell>
        </row>
        <row r="93">
          <cell r="A93" t="str">
            <v>egl-FT300g106</v>
          </cell>
          <cell r="B93" t="str">
            <v>مناديل كيس ايجل 300 منديل مفرد 10شد×6ح ذهبي</v>
          </cell>
          <cell r="C93" t="str">
            <v>VAT</v>
          </cell>
          <cell r="D93" t="str">
            <v>VAT</v>
          </cell>
          <cell r="E93" t="str">
            <v>egl-FT300g106</v>
          </cell>
          <cell r="F93" t="str">
            <v>CA</v>
          </cell>
          <cell r="G93" t="str">
            <v>1.00</v>
          </cell>
          <cell r="H93" t="str">
            <v>69.68</v>
          </cell>
          <cell r="I93" t="str">
            <v>69.19</v>
          </cell>
        </row>
        <row r="94">
          <cell r="A94" t="str">
            <v>egl-FT300g510</v>
          </cell>
          <cell r="B94" t="str">
            <v>مناديل كيس ايجل 300 منديل مفرد 5شد×10ح ذهبي</v>
          </cell>
          <cell r="C94" t="str">
            <v>VAT</v>
          </cell>
          <cell r="D94" t="str">
            <v>VAT</v>
          </cell>
          <cell r="E94" t="str">
            <v>egl-FT300g510</v>
          </cell>
          <cell r="F94" t="str">
            <v>CA</v>
          </cell>
          <cell r="G94" t="str">
            <v>1.00</v>
          </cell>
          <cell r="H94" t="str">
            <v>58.28</v>
          </cell>
          <cell r="I94" t="str">
            <v>57.87</v>
          </cell>
        </row>
        <row r="95">
          <cell r="B95" t="str">
            <v>1</v>
          </cell>
          <cell r="E95" t="str">
            <v>287031240016</v>
          </cell>
          <cell r="F95" t="str">
            <v>BND-XXXXXXXX</v>
          </cell>
          <cell r="G95" t="str">
            <v>0.20</v>
          </cell>
          <cell r="H95" t="str">
            <v>11.66</v>
          </cell>
          <cell r="I95" t="str">
            <v>11.57</v>
          </cell>
        </row>
        <row r="96">
          <cell r="A96" t="str">
            <v>egl-FT300G6X5</v>
          </cell>
          <cell r="B96" t="str">
            <v>مناديل كيس ايجل 300 منديل مفرد 6شد×5ح ذهبي</v>
          </cell>
          <cell r="C96" t="str">
            <v>VAT</v>
          </cell>
          <cell r="D96" t="str">
            <v>VAT</v>
          </cell>
          <cell r="E96" t="str">
            <v>egl-FT300G6X5</v>
          </cell>
          <cell r="F96" t="str">
            <v>CA</v>
          </cell>
          <cell r="G96" t="str">
            <v>1.00</v>
          </cell>
          <cell r="H96" t="str">
            <v>35.49</v>
          </cell>
          <cell r="I96" t="str">
            <v>35.23</v>
          </cell>
        </row>
        <row r="97">
          <cell r="B97" t="str">
            <v>1</v>
          </cell>
          <cell r="E97" t="str">
            <v>egl-FT300G6X5</v>
          </cell>
          <cell r="F97" t="str">
            <v>BND-XXXXXXXX</v>
          </cell>
          <cell r="G97" t="str">
            <v>0.17</v>
          </cell>
          <cell r="H97" t="str">
            <v>5.91</v>
          </cell>
          <cell r="I97" t="str">
            <v>5.87</v>
          </cell>
        </row>
        <row r="98">
          <cell r="A98" t="str">
            <v>egl-FT300s103</v>
          </cell>
          <cell r="B98" t="str">
            <v>مناديل كيس ايجل ثلاثمائة منديل مفرد 10شد×3ح ابيض</v>
          </cell>
          <cell r="C98" t="str">
            <v>VAT</v>
          </cell>
          <cell r="D98" t="str">
            <v>VAT</v>
          </cell>
          <cell r="E98" t="str">
            <v>egl-FT300s103</v>
          </cell>
          <cell r="F98" t="str">
            <v>CA</v>
          </cell>
          <cell r="G98" t="str">
            <v>1.00</v>
          </cell>
          <cell r="H98" t="str">
            <v>41.13</v>
          </cell>
          <cell r="I98" t="str">
            <v>42.00</v>
          </cell>
        </row>
        <row r="99">
          <cell r="A99" t="str">
            <v>egl-FT300s105</v>
          </cell>
          <cell r="B99" t="str">
            <v>مناديل كيس ايجل ثلاثمائه منديل مفرد 10شد×5ح ابيض</v>
          </cell>
          <cell r="C99" t="str">
            <v>VAT</v>
          </cell>
          <cell r="D99" t="str">
            <v>VAT</v>
          </cell>
          <cell r="E99" t="str">
            <v>egl-FT300s105</v>
          </cell>
          <cell r="F99" t="str">
            <v>CA</v>
          </cell>
          <cell r="G99" t="str">
            <v>1.00</v>
          </cell>
          <cell r="H99" t="str">
            <v>70.00</v>
          </cell>
          <cell r="I99" t="str">
            <v>69.30</v>
          </cell>
        </row>
        <row r="100">
          <cell r="A100" t="str">
            <v>egl-FT300s510</v>
          </cell>
          <cell r="B100" t="str">
            <v>مناديل كيس ايجل ثلاثمائه منديل مفرد 5شد×10ح ابيض</v>
          </cell>
          <cell r="C100" t="str">
            <v>VAT</v>
          </cell>
          <cell r="D100" t="str">
            <v>VAT</v>
          </cell>
          <cell r="E100" t="str">
            <v>egl-FT300s510</v>
          </cell>
          <cell r="F100" t="str">
            <v>CA</v>
          </cell>
          <cell r="G100" t="str">
            <v>1.00</v>
          </cell>
          <cell r="H100" t="str">
            <v>70.00</v>
          </cell>
          <cell r="I100" t="str">
            <v>69.30</v>
          </cell>
        </row>
        <row r="101">
          <cell r="A101" t="str">
            <v>egl-FT300s6x5</v>
          </cell>
          <cell r="B101" t="str">
            <v>مناديل كيس ايجل ثلاثمائه منديل مفرد 6شد×5ح ابيض</v>
          </cell>
          <cell r="C101" t="str">
            <v>VAT</v>
          </cell>
          <cell r="D101" t="str">
            <v>VAT</v>
          </cell>
          <cell r="E101" t="str">
            <v>egl-FT300s6x5</v>
          </cell>
          <cell r="F101" t="str">
            <v>CA</v>
          </cell>
          <cell r="G101" t="str">
            <v>1.00</v>
          </cell>
          <cell r="H101" t="str">
            <v>46.00</v>
          </cell>
          <cell r="I101" t="str">
            <v>47.25</v>
          </cell>
        </row>
        <row r="102">
          <cell r="A102" t="str">
            <v>egl-FT600s410</v>
          </cell>
          <cell r="B102" t="str">
            <v>مناديل كيس ايجل 600 منديل مفرد 4شد×10ح</v>
          </cell>
          <cell r="C102" t="str">
            <v>VAT</v>
          </cell>
          <cell r="D102" t="str">
            <v>VAT</v>
          </cell>
          <cell r="E102" t="str">
            <v>egl-FT600s410</v>
          </cell>
          <cell r="F102" t="str">
            <v>CA</v>
          </cell>
          <cell r="G102" t="str">
            <v>1.00</v>
          </cell>
          <cell r="H102" t="str">
            <v>104.91</v>
          </cell>
          <cell r="I102" t="str">
            <v>104.17</v>
          </cell>
        </row>
        <row r="103">
          <cell r="A103" t="str">
            <v>egl-FTBX15066</v>
          </cell>
          <cell r="B103" t="str">
            <v>مناديل علب ايجل 150 منديل 6شدات × 6 حبات</v>
          </cell>
          <cell r="C103" t="str">
            <v>VAT</v>
          </cell>
          <cell r="D103" t="str">
            <v>VAT</v>
          </cell>
          <cell r="E103" t="str">
            <v>egl-FTBX15066</v>
          </cell>
          <cell r="F103" t="str">
            <v>CA</v>
          </cell>
          <cell r="G103" t="str">
            <v>1.00</v>
          </cell>
          <cell r="H103" t="str">
            <v>33.00</v>
          </cell>
          <cell r="I103" t="str">
            <v>33.00</v>
          </cell>
        </row>
        <row r="104">
          <cell r="A104" t="str">
            <v>egl-FTBX15094</v>
          </cell>
          <cell r="B104" t="str">
            <v>مناديل علب ايجل 150 منديل 9 شدات × 4 حبات</v>
          </cell>
          <cell r="C104" t="str">
            <v>VAT</v>
          </cell>
          <cell r="D104" t="str">
            <v>VAT</v>
          </cell>
          <cell r="E104" t="str">
            <v>egl-FTBX15094</v>
          </cell>
          <cell r="F104" t="str">
            <v>CA</v>
          </cell>
          <cell r="G104" t="str">
            <v>1.00</v>
          </cell>
          <cell r="H104" t="str">
            <v>33.00</v>
          </cell>
          <cell r="I104" t="str">
            <v>33.00</v>
          </cell>
        </row>
        <row r="105">
          <cell r="A105" t="str">
            <v>egl-GB50G10KG</v>
          </cell>
          <cell r="B105" t="str">
            <v>اكياس نفايا ايجل  50 جالون 10 كيلو 10شد×50 كيس</v>
          </cell>
          <cell r="C105" t="str">
            <v>VAT</v>
          </cell>
          <cell r="D105" t="str">
            <v>VAT</v>
          </cell>
          <cell r="E105" t="str">
            <v>egl-GB50G10KG</v>
          </cell>
          <cell r="F105" t="str">
            <v>CA</v>
          </cell>
          <cell r="G105" t="str">
            <v>1.00</v>
          </cell>
          <cell r="H105" t="str">
            <v>56.52</v>
          </cell>
          <cell r="I105" t="str">
            <v>57.52</v>
          </cell>
        </row>
        <row r="106">
          <cell r="A106" t="str">
            <v>egl-GB50G1R3K</v>
          </cell>
          <cell r="B106" t="str">
            <v>اكياس نفايا ايجل 1رول×3ك 50 جالون ماسورة</v>
          </cell>
          <cell r="C106" t="str">
            <v>VAT</v>
          </cell>
          <cell r="D106" t="str">
            <v>VAT</v>
          </cell>
          <cell r="E106" t="str">
            <v>egl-GB50G1R3K</v>
          </cell>
          <cell r="F106" t="str">
            <v>CA</v>
          </cell>
          <cell r="G106" t="str">
            <v>1.00</v>
          </cell>
          <cell r="H106" t="str">
            <v>15.50</v>
          </cell>
          <cell r="I106" t="str">
            <v>15.50</v>
          </cell>
        </row>
        <row r="107">
          <cell r="A107" t="str">
            <v>egl-GB50G2R3K</v>
          </cell>
          <cell r="B107" t="str">
            <v>اكياس نفايا ايجل 2رول×3ك 50 جالون ماسورة</v>
          </cell>
          <cell r="C107" t="str">
            <v>VAT</v>
          </cell>
          <cell r="D107" t="str">
            <v>VAT</v>
          </cell>
          <cell r="E107" t="str">
            <v>egl-GB50G2R3K</v>
          </cell>
          <cell r="F107" t="str">
            <v>CA</v>
          </cell>
          <cell r="G107" t="str">
            <v>1.00</v>
          </cell>
          <cell r="H107" t="str">
            <v>30.20</v>
          </cell>
          <cell r="I107" t="str">
            <v>30.20</v>
          </cell>
        </row>
        <row r="108">
          <cell r="A108" t="str">
            <v>egl-GB55G1R3K</v>
          </cell>
          <cell r="B108" t="str">
            <v>اكياس نفايا ايجل 1رول×3ك 55 جالون ماسورة</v>
          </cell>
          <cell r="C108" t="str">
            <v>VAT</v>
          </cell>
          <cell r="D108" t="str">
            <v>VAT</v>
          </cell>
          <cell r="E108" t="str">
            <v>egl-GB55G1R3K</v>
          </cell>
          <cell r="F108" t="str">
            <v>CA</v>
          </cell>
          <cell r="G108" t="str">
            <v>1.00</v>
          </cell>
          <cell r="H108" t="str">
            <v>15.50</v>
          </cell>
          <cell r="I108" t="str">
            <v>15.50</v>
          </cell>
        </row>
        <row r="109">
          <cell r="A109" t="str">
            <v>egl-GB55G2R3K</v>
          </cell>
          <cell r="B109" t="str">
            <v>اكياس نفايا ايجل 2رول×3ك 55 جالون ماسورة</v>
          </cell>
          <cell r="C109" t="str">
            <v>VAT</v>
          </cell>
          <cell r="D109" t="str">
            <v>VAT</v>
          </cell>
          <cell r="E109" t="str">
            <v>egl-GB55G2R3K</v>
          </cell>
          <cell r="F109" t="str">
            <v>CA</v>
          </cell>
          <cell r="G109" t="str">
            <v>1.00</v>
          </cell>
          <cell r="H109" t="str">
            <v>30.20</v>
          </cell>
          <cell r="I109" t="str">
            <v>30.20</v>
          </cell>
        </row>
        <row r="110">
          <cell r="A110" t="str">
            <v>egl-GB70G1R3K</v>
          </cell>
          <cell r="B110" t="str">
            <v>اكياس نفايا ايجل 1رول×3ك 70 جالون ماسورة</v>
          </cell>
          <cell r="C110" t="str">
            <v>VAT</v>
          </cell>
          <cell r="D110" t="str">
            <v>VAT</v>
          </cell>
          <cell r="E110" t="str">
            <v>egl-GB70G1R3K</v>
          </cell>
          <cell r="F110" t="str">
            <v>CA</v>
          </cell>
          <cell r="G110" t="str">
            <v>1.00</v>
          </cell>
          <cell r="H110" t="str">
            <v>15.50</v>
          </cell>
          <cell r="I110" t="str">
            <v>15.50</v>
          </cell>
        </row>
        <row r="111">
          <cell r="A111" t="str">
            <v>egl-GB70G2R3K</v>
          </cell>
          <cell r="B111" t="str">
            <v>اكياس نفايا ايجل 2رول×3ك 70 جالون ماسورة</v>
          </cell>
          <cell r="C111" t="str">
            <v>VAT</v>
          </cell>
          <cell r="D111" t="str">
            <v>VAT</v>
          </cell>
          <cell r="E111" t="str">
            <v>egl-GB70G2R3K</v>
          </cell>
          <cell r="F111" t="str">
            <v>CA</v>
          </cell>
          <cell r="G111" t="str">
            <v>1.00</v>
          </cell>
          <cell r="H111" t="str">
            <v>30.20</v>
          </cell>
          <cell r="I111" t="str">
            <v>30.20</v>
          </cell>
        </row>
        <row r="112">
          <cell r="A112" t="str">
            <v>egl-GBRL50G6K</v>
          </cell>
          <cell r="B112" t="str">
            <v>اكياس نفايا ايجل رول 50 جالون ماسورة 6ك</v>
          </cell>
          <cell r="C112" t="str">
            <v>VAT</v>
          </cell>
          <cell r="D112" t="str">
            <v>VAT</v>
          </cell>
          <cell r="E112" t="str">
            <v>egl-GBRL50G6K</v>
          </cell>
          <cell r="F112" t="str">
            <v>CA</v>
          </cell>
          <cell r="G112" t="str">
            <v>1.00</v>
          </cell>
          <cell r="H112" t="str">
            <v>30.20</v>
          </cell>
          <cell r="I112" t="str">
            <v>30.20</v>
          </cell>
        </row>
        <row r="113">
          <cell r="A113" t="str">
            <v>egl-GBRL55G6K</v>
          </cell>
          <cell r="B113" t="str">
            <v>اكياس نفايا ايجل رول 55 جالون ماسورة 6ك</v>
          </cell>
          <cell r="C113" t="str">
            <v>VAT</v>
          </cell>
          <cell r="D113" t="str">
            <v>VAT</v>
          </cell>
          <cell r="E113" t="str">
            <v>egl-GBRL55G6K</v>
          </cell>
          <cell r="F113" t="str">
            <v>CA</v>
          </cell>
          <cell r="G113" t="str">
            <v>1.00</v>
          </cell>
          <cell r="H113" t="str">
            <v>30.20</v>
          </cell>
          <cell r="I113" t="str">
            <v>30.20</v>
          </cell>
        </row>
        <row r="114">
          <cell r="A114" t="str">
            <v>egl-GBRL70G6K</v>
          </cell>
          <cell r="B114" t="str">
            <v>اكياس نفايا ايجل رول 70 جالون ماسورة 6ك</v>
          </cell>
          <cell r="C114" t="str">
            <v>VAT</v>
          </cell>
          <cell r="D114" t="str">
            <v>VAT</v>
          </cell>
          <cell r="E114" t="str">
            <v>egl-GBRL70G6K</v>
          </cell>
          <cell r="F114" t="str">
            <v>CA</v>
          </cell>
          <cell r="G114" t="str">
            <v>1.00</v>
          </cell>
          <cell r="H114" t="str">
            <v>30.20</v>
          </cell>
          <cell r="I114" t="str">
            <v>30.20</v>
          </cell>
        </row>
        <row r="115">
          <cell r="A115" t="str">
            <v>egl-INTRFLD1P</v>
          </cell>
          <cell r="B115" t="str">
            <v>انترفولد ايجل اخضر 150 منديل مفرد 24 حبة</v>
          </cell>
          <cell r="C115" t="str">
            <v>VAT</v>
          </cell>
          <cell r="D115" t="str">
            <v>VAT</v>
          </cell>
          <cell r="E115" t="str">
            <v>egl-INTRFLD1P</v>
          </cell>
          <cell r="F115" t="str">
            <v>CA</v>
          </cell>
          <cell r="G115" t="str">
            <v>1.00</v>
          </cell>
          <cell r="H115" t="str">
            <v>44.00</v>
          </cell>
          <cell r="I115" t="str">
            <v>44.00</v>
          </cell>
        </row>
        <row r="116">
          <cell r="A116" t="str">
            <v>egl-JMBRL3Kx5</v>
          </cell>
          <cell r="B116" t="str">
            <v>رول مطعم ايجل جامبو 3ك × 5حبة</v>
          </cell>
          <cell r="C116" t="str">
            <v>VAT</v>
          </cell>
          <cell r="D116" t="str">
            <v>VAT</v>
          </cell>
          <cell r="E116" t="str">
            <v>egl-JMBRL3Kx5</v>
          </cell>
          <cell r="F116" t="str">
            <v>CA</v>
          </cell>
          <cell r="G116" t="str">
            <v>1.00</v>
          </cell>
          <cell r="H116" t="str">
            <v>89.47</v>
          </cell>
          <cell r="I116" t="str">
            <v>91.80</v>
          </cell>
        </row>
        <row r="117">
          <cell r="A117" t="str">
            <v>egl-KT23CM4X6</v>
          </cell>
          <cell r="B117" t="str">
            <v>مناديل مطبخ ايجل 23سم 24 رول 4شد×6ح</v>
          </cell>
          <cell r="C117" t="str">
            <v>VAT</v>
          </cell>
          <cell r="D117" t="str">
            <v>VAT</v>
          </cell>
          <cell r="E117" t="str">
            <v>egl-KT23CM4X6</v>
          </cell>
          <cell r="F117" t="str">
            <v>CA</v>
          </cell>
          <cell r="G117" t="str">
            <v>1.00</v>
          </cell>
          <cell r="H117" t="str">
            <v>17.00</v>
          </cell>
          <cell r="I117" t="str">
            <v>16.84</v>
          </cell>
        </row>
        <row r="118">
          <cell r="A118" t="str">
            <v>egl-KT23CM6X6</v>
          </cell>
          <cell r="B118" t="str">
            <v>مناديل مطبخ ايجل 23سم 36 رول 6شد×6ح</v>
          </cell>
          <cell r="C118" t="str">
            <v>0</v>
          </cell>
          <cell r="D118" t="str">
            <v>VAT</v>
          </cell>
          <cell r="E118" t="str">
            <v>egl-KT23CM6X6</v>
          </cell>
          <cell r="F118" t="str">
            <v>CA</v>
          </cell>
          <cell r="G118" t="str">
            <v>1.00</v>
          </cell>
          <cell r="H118" t="str">
            <v>30.17</v>
          </cell>
          <cell r="I118" t="str">
            <v>30.17</v>
          </cell>
        </row>
        <row r="119">
          <cell r="A119" t="str">
            <v>egl-KT28CM362</v>
          </cell>
          <cell r="B119" t="str">
            <v>مناديل مطبخ ايجل 28سم 24 رول 3شد×6+2ح</v>
          </cell>
          <cell r="C119" t="str">
            <v>VAT</v>
          </cell>
          <cell r="D119" t="str">
            <v>VAT</v>
          </cell>
          <cell r="E119" t="str">
            <v>egl-KT28CM362</v>
          </cell>
          <cell r="F119" t="str">
            <v>CA</v>
          </cell>
          <cell r="G119" t="str">
            <v>1.00</v>
          </cell>
          <cell r="H119" t="str">
            <v>24.15</v>
          </cell>
          <cell r="I119" t="str">
            <v>24.21</v>
          </cell>
        </row>
        <row r="120">
          <cell r="A120" t="str">
            <v>egl-MXRL150Mi</v>
          </cell>
          <cell r="B120" t="str">
            <v>ماكسي رول ايجل 150متر  اقتصادي 6 رول</v>
          </cell>
          <cell r="C120" t="str">
            <v>VAT</v>
          </cell>
          <cell r="D120" t="str">
            <v>VAT</v>
          </cell>
          <cell r="E120" t="str">
            <v>egl-MXRL150Mi</v>
          </cell>
          <cell r="F120" t="str">
            <v>CA</v>
          </cell>
          <cell r="G120" t="str">
            <v>1.00</v>
          </cell>
          <cell r="H120" t="str">
            <v>21.00</v>
          </cell>
          <cell r="I120" t="str">
            <v>20.00</v>
          </cell>
        </row>
        <row r="121">
          <cell r="A121" t="str">
            <v>egl-MXRL300Mi</v>
          </cell>
          <cell r="B121" t="str">
            <v>ماكسي رول ايجل 300 م  احمر 6 رول</v>
          </cell>
          <cell r="C121" t="str">
            <v>VAT</v>
          </cell>
          <cell r="D121" t="str">
            <v>VAT</v>
          </cell>
          <cell r="E121" t="str">
            <v>egl-MXRL300Mi</v>
          </cell>
          <cell r="F121" t="str">
            <v>CA</v>
          </cell>
          <cell r="G121" t="str">
            <v>1.00</v>
          </cell>
          <cell r="H121" t="str">
            <v>41.00</v>
          </cell>
          <cell r="I121" t="str">
            <v>41.00</v>
          </cell>
        </row>
        <row r="122">
          <cell r="A122" t="str">
            <v>egl-MXRL750SH</v>
          </cell>
          <cell r="B122" t="str">
            <v>ماكسي رول ايجل 750 شيت اخضر 6رول</v>
          </cell>
          <cell r="C122" t="str">
            <v>VAT</v>
          </cell>
          <cell r="D122" t="str">
            <v>VAT</v>
          </cell>
          <cell r="E122" t="str">
            <v>egl-MXRL750SH</v>
          </cell>
          <cell r="F122" t="str">
            <v>CA</v>
          </cell>
          <cell r="G122" t="str">
            <v>1.00</v>
          </cell>
          <cell r="H122" t="str">
            <v>25.20</v>
          </cell>
          <cell r="I122" t="str">
            <v>25.26</v>
          </cell>
        </row>
        <row r="123">
          <cell r="A123" t="str">
            <v>egl-MXROL300M</v>
          </cell>
          <cell r="B123" t="str">
            <v>ماكسي رول ايجل 300 متر احمر 6 رول</v>
          </cell>
          <cell r="C123" t="str">
            <v>VAT</v>
          </cell>
          <cell r="D123" t="str">
            <v>VAT</v>
          </cell>
          <cell r="E123" t="str">
            <v>egl-MXROL300M</v>
          </cell>
          <cell r="F123" t="str">
            <v>CA</v>
          </cell>
          <cell r="G123" t="str">
            <v>1.00</v>
          </cell>
          <cell r="H123" t="str">
            <v>46.20</v>
          </cell>
          <cell r="I123" t="str">
            <v>46.31</v>
          </cell>
        </row>
        <row r="124">
          <cell r="A124" t="str">
            <v>egl-PPCUPS2OZ</v>
          </cell>
          <cell r="B124" t="str">
            <v>كاسات ايجل الورقية 2 اونص</v>
          </cell>
          <cell r="C124" t="str">
            <v>VAT</v>
          </cell>
          <cell r="D124" t="str">
            <v>VAT</v>
          </cell>
          <cell r="E124" t="str">
            <v>egl-PPCUPS2OZ</v>
          </cell>
          <cell r="F124" t="str">
            <v>CA</v>
          </cell>
          <cell r="G124" t="str">
            <v>1.00</v>
          </cell>
          <cell r="H124" t="str">
            <v>23.00</v>
          </cell>
          <cell r="I124" t="str">
            <v>22.10</v>
          </cell>
        </row>
        <row r="125">
          <cell r="A125" t="str">
            <v>egl-pprcp9prm</v>
          </cell>
          <cell r="B125" t="str">
            <v xml:space="preserve">كاسات ورقية 9 اونص </v>
          </cell>
          <cell r="C125" t="str">
            <v>VAT</v>
          </cell>
          <cell r="D125" t="str">
            <v>VAT</v>
          </cell>
          <cell r="E125" t="str">
            <v>egl-pprcp9prm</v>
          </cell>
          <cell r="F125" t="str">
            <v>CA</v>
          </cell>
          <cell r="G125" t="str">
            <v>1.00</v>
          </cell>
          <cell r="H125" t="str">
            <v>39.94</v>
          </cell>
          <cell r="I125" t="str">
            <v>39.94</v>
          </cell>
        </row>
        <row r="126">
          <cell r="A126" t="str">
            <v>egl-PPRCUP4OZ</v>
          </cell>
          <cell r="B126" t="str">
            <v>كاسات ايجل الورقية 4 اونصة 20×50</v>
          </cell>
          <cell r="C126" t="str">
            <v>VAT</v>
          </cell>
          <cell r="D126" t="str">
            <v>VAT</v>
          </cell>
          <cell r="E126" t="str">
            <v>egl-PPRCUP4OZ</v>
          </cell>
          <cell r="F126" t="str">
            <v>CA</v>
          </cell>
          <cell r="G126" t="str">
            <v>1.00</v>
          </cell>
          <cell r="H126" t="str">
            <v>31.00</v>
          </cell>
          <cell r="I126" t="str">
            <v>30.50</v>
          </cell>
        </row>
        <row r="127">
          <cell r="A127" t="str">
            <v>egl-PPRCUP7OZ</v>
          </cell>
          <cell r="B127" t="str">
            <v>كاسات ايجل الورقية 7 اونصة 20×50</v>
          </cell>
          <cell r="C127" t="str">
            <v>VAT</v>
          </cell>
          <cell r="D127" t="str">
            <v>VAT</v>
          </cell>
          <cell r="E127" t="str">
            <v>egl-PPRCUP7OZ</v>
          </cell>
          <cell r="F127" t="str">
            <v>CA</v>
          </cell>
          <cell r="G127" t="str">
            <v>1.00</v>
          </cell>
          <cell r="H127" t="str">
            <v>36.83</v>
          </cell>
          <cell r="I127" t="str">
            <v>41.09</v>
          </cell>
        </row>
        <row r="128">
          <cell r="A128" t="str">
            <v>egl-PPRCUP9OZ</v>
          </cell>
          <cell r="B128" t="str">
            <v>كاسات ايجل الورقية 9 اونصة 20×50</v>
          </cell>
          <cell r="C128" t="str">
            <v>VAT</v>
          </cell>
          <cell r="D128" t="str">
            <v>VAT</v>
          </cell>
          <cell r="E128" t="str">
            <v>egl-PPRCUP9OZ</v>
          </cell>
          <cell r="F128" t="str">
            <v>CA</v>
          </cell>
          <cell r="G128" t="str">
            <v>1.00</v>
          </cell>
          <cell r="H128" t="str">
            <v>37.89</v>
          </cell>
          <cell r="I128" t="str">
            <v>36.33</v>
          </cell>
        </row>
        <row r="129">
          <cell r="A129" t="str">
            <v>egl-T600MX410</v>
          </cell>
          <cell r="B129" t="str">
            <v>مناديل كيس لافيستا ستمائة منديل مفرد 4شد×10ح</v>
          </cell>
          <cell r="C129" t="str">
            <v>VAT</v>
          </cell>
          <cell r="D129" t="str">
            <v>VAT</v>
          </cell>
          <cell r="E129" t="str">
            <v>egl-T600MX410</v>
          </cell>
          <cell r="F129" t="str">
            <v>CA</v>
          </cell>
          <cell r="G129" t="str">
            <v>1.00</v>
          </cell>
          <cell r="H129" t="str">
            <v>85.00</v>
          </cell>
          <cell r="I129" t="str">
            <v>85.00</v>
          </cell>
        </row>
        <row r="130">
          <cell r="A130" t="str">
            <v>egl-TC4K1ROLL</v>
          </cell>
          <cell r="B130" t="str">
            <v>سفرة ايجل رول 4 كيلو 1رول</v>
          </cell>
          <cell r="C130" t="str">
            <v>VAT</v>
          </cell>
          <cell r="D130" t="str">
            <v>VAT</v>
          </cell>
          <cell r="E130" t="str">
            <v>egl-TC4K1ROLL</v>
          </cell>
          <cell r="F130" t="str">
            <v>CA</v>
          </cell>
          <cell r="G130" t="str">
            <v>1.00</v>
          </cell>
          <cell r="H130" t="str">
            <v>27.83</v>
          </cell>
          <cell r="I130" t="str">
            <v>27.39</v>
          </cell>
        </row>
        <row r="131">
          <cell r="A131" t="str">
            <v>egl-TC4kgHD1R</v>
          </cell>
          <cell r="B131" t="str">
            <v>ايجل سفرة مطاعم ماسورة 4كيلو</v>
          </cell>
          <cell r="C131" t="str">
            <v>VAT</v>
          </cell>
          <cell r="D131" t="str">
            <v>VAT</v>
          </cell>
          <cell r="E131" t="str">
            <v>egl-TC4kgHD1R</v>
          </cell>
          <cell r="F131" t="str">
            <v>CA</v>
          </cell>
          <cell r="G131" t="str">
            <v>1.00</v>
          </cell>
          <cell r="H131" t="str">
            <v>28.25</v>
          </cell>
          <cell r="I131" t="str">
            <v>28.25</v>
          </cell>
        </row>
        <row r="132">
          <cell r="A132" t="str">
            <v>egl-TCJ6rlx20</v>
          </cell>
          <cell r="B132" t="str">
            <v>سفرة ايجل رول جامبو اصفر 100×140 6ح×20</v>
          </cell>
          <cell r="C132" t="str">
            <v>VAT</v>
          </cell>
          <cell r="D132" t="str">
            <v>VAT</v>
          </cell>
          <cell r="E132" t="str">
            <v>egl-TCJ6rlx20</v>
          </cell>
          <cell r="F132" t="str">
            <v>CA</v>
          </cell>
          <cell r="G132" t="str">
            <v>1.00</v>
          </cell>
          <cell r="H132" t="str">
            <v>52.00</v>
          </cell>
          <cell r="I132" t="str">
            <v>52.50</v>
          </cell>
        </row>
        <row r="133">
          <cell r="A133" t="str">
            <v>egl-TCM10Rx15</v>
          </cell>
          <cell r="B133" t="str">
            <v>سفرة ايجل رول ميني جامبو ابيض 100×140 10ح×15</v>
          </cell>
          <cell r="C133" t="str">
            <v>VAT</v>
          </cell>
          <cell r="D133" t="str">
            <v>VAT</v>
          </cell>
          <cell r="E133" t="str">
            <v>egl-TCM10Rx15</v>
          </cell>
          <cell r="F133" t="str">
            <v>CA</v>
          </cell>
          <cell r="G133" t="str">
            <v>1.00</v>
          </cell>
          <cell r="H133" t="str">
            <v>64.00</v>
          </cell>
          <cell r="I133" t="str">
            <v>65.10</v>
          </cell>
        </row>
        <row r="134">
          <cell r="A134" t="str">
            <v>egl-ti30e1020</v>
          </cell>
          <cell r="B134" t="str">
            <v>اكياس نفايا ايجل ابو ربطة 30 ج برتقالي اقتصادي 10ح×20</v>
          </cell>
          <cell r="C134" t="str">
            <v>VAT</v>
          </cell>
          <cell r="D134" t="str">
            <v>VAT</v>
          </cell>
          <cell r="E134" t="str">
            <v>egl-ti30e1020</v>
          </cell>
          <cell r="F134" t="str">
            <v>CA</v>
          </cell>
          <cell r="G134" t="str">
            <v>1.00</v>
          </cell>
          <cell r="H134" t="str">
            <v>96.00</v>
          </cell>
          <cell r="I134" t="str">
            <v>98.28</v>
          </cell>
        </row>
        <row r="135">
          <cell r="A135" t="str">
            <v>egl-ti50e1020</v>
          </cell>
          <cell r="B135" t="str">
            <v>اكياس نفايا ايجل ابو ربطة 50 ج احمر اقتصادي 10ح×20</v>
          </cell>
          <cell r="C135" t="str">
            <v>VAT</v>
          </cell>
          <cell r="D135" t="str">
            <v>VAT</v>
          </cell>
          <cell r="E135" t="str">
            <v>egl-ti50e1020</v>
          </cell>
          <cell r="F135" t="str">
            <v>CA</v>
          </cell>
          <cell r="G135" t="str">
            <v>1.00</v>
          </cell>
          <cell r="H135" t="str">
            <v>96.00</v>
          </cell>
          <cell r="I135" t="str">
            <v>98.28</v>
          </cell>
        </row>
        <row r="136">
          <cell r="A136" t="str">
            <v>egl-ti50h1512</v>
          </cell>
          <cell r="B136" t="str">
            <v>اكياس نفايا ايجل ابو ربطة  50 ج احمر عالي السماكة 15ح×12</v>
          </cell>
          <cell r="C136" t="str">
            <v>VAT</v>
          </cell>
          <cell r="D136" t="str">
            <v>VAT</v>
          </cell>
          <cell r="E136" t="str">
            <v>egl-ti50h1512</v>
          </cell>
          <cell r="F136" t="str">
            <v>CA</v>
          </cell>
          <cell r="G136" t="str">
            <v>1.00</v>
          </cell>
          <cell r="H136" t="str">
            <v>85.00</v>
          </cell>
          <cell r="I136" t="str">
            <v>86.94</v>
          </cell>
        </row>
        <row r="137">
          <cell r="A137" t="str">
            <v>egl-ti55e1020</v>
          </cell>
          <cell r="B137" t="str">
            <v>اكياس نفايا ايجل ابو ربطة 55 ج ازرق اقتصادي 10ح×20</v>
          </cell>
          <cell r="C137" t="str">
            <v>VAT</v>
          </cell>
          <cell r="D137" t="str">
            <v>VAT</v>
          </cell>
          <cell r="E137" t="str">
            <v>egl-ti55e1020</v>
          </cell>
          <cell r="F137" t="str">
            <v>CA</v>
          </cell>
          <cell r="G137" t="str">
            <v>1.00</v>
          </cell>
          <cell r="H137" t="str">
            <v>96.00</v>
          </cell>
          <cell r="I137" t="str">
            <v>98.28</v>
          </cell>
        </row>
        <row r="138">
          <cell r="A138" t="str">
            <v>egl-ti55h1512</v>
          </cell>
          <cell r="B138" t="str">
            <v>اكياس نفايا ايجل ابو ربطة  55 ج ازرق عالي السماكة 15ح×12</v>
          </cell>
          <cell r="C138" t="str">
            <v>VAT</v>
          </cell>
          <cell r="D138" t="str">
            <v>VAT</v>
          </cell>
          <cell r="E138" t="str">
            <v>egl-ti55h1512</v>
          </cell>
          <cell r="F138" t="str">
            <v>CA</v>
          </cell>
          <cell r="G138" t="str">
            <v>1.00</v>
          </cell>
          <cell r="H138" t="str">
            <v>85.00</v>
          </cell>
          <cell r="I138" t="str">
            <v>86.94</v>
          </cell>
        </row>
        <row r="139">
          <cell r="A139" t="str">
            <v>egl-tr50h15x9</v>
          </cell>
          <cell r="B139" t="str">
            <v>اكياس نفايا  ايجل 50 ج اخضر عالي السماكه 1كيلو 15ح×9</v>
          </cell>
          <cell r="C139" t="str">
            <v>VAT</v>
          </cell>
          <cell r="D139" t="str">
            <v>VAT</v>
          </cell>
          <cell r="E139" t="str">
            <v>egl-tr50h15x9</v>
          </cell>
          <cell r="F139" t="str">
            <v>CA</v>
          </cell>
          <cell r="G139" t="str">
            <v>1.00</v>
          </cell>
          <cell r="H139" t="str">
            <v>80.00</v>
          </cell>
          <cell r="I139" t="str">
            <v>81.90</v>
          </cell>
        </row>
        <row r="140">
          <cell r="A140" t="str">
            <v>egl-tr55h15x8</v>
          </cell>
          <cell r="B140" t="str">
            <v>اكياس نفايا ايجل 55 ج اصفر عالي السماكه 1كيلو15ح×8</v>
          </cell>
          <cell r="C140" t="str">
            <v>VAT</v>
          </cell>
          <cell r="D140" t="str">
            <v>VAT</v>
          </cell>
          <cell r="E140" t="str">
            <v>egl-tr55h15x8</v>
          </cell>
          <cell r="F140" t="str">
            <v>CA</v>
          </cell>
          <cell r="G140" t="str">
            <v>1.00</v>
          </cell>
          <cell r="H140" t="str">
            <v>80.00</v>
          </cell>
          <cell r="I140" t="str">
            <v>81.90</v>
          </cell>
        </row>
        <row r="141">
          <cell r="A141" t="str">
            <v>egl-WATCUP6OZ</v>
          </cell>
          <cell r="B141" t="str">
            <v>كاسات مياه ايجل بلاستيكية 6 اونص بيضاء 20شد×50ح</v>
          </cell>
          <cell r="C141" t="str">
            <v>VAT</v>
          </cell>
          <cell r="D141" t="str">
            <v>VAT</v>
          </cell>
          <cell r="E141" t="str">
            <v>egl-WATCUP6OZ</v>
          </cell>
          <cell r="F141" t="str">
            <v>CA</v>
          </cell>
          <cell r="G141" t="str">
            <v>1.00</v>
          </cell>
          <cell r="H141" t="str">
            <v>15.70</v>
          </cell>
          <cell r="I141" t="str">
            <v>16.52</v>
          </cell>
        </row>
        <row r="142">
          <cell r="A142" t="str">
            <v>egl-WLMNT1200</v>
          </cell>
          <cell r="B142" t="str">
            <v>مناديل ايجل معلقة على الحائط 4 طبقات 1200منديل</v>
          </cell>
          <cell r="C142" t="str">
            <v>0</v>
          </cell>
          <cell r="D142" t="str">
            <v>VAT</v>
          </cell>
          <cell r="E142" t="str">
            <v>egl-WLMNT1200</v>
          </cell>
          <cell r="F142" t="str">
            <v>CA</v>
          </cell>
          <cell r="G142" t="str">
            <v>1.00</v>
          </cell>
          <cell r="H142" t="str">
            <v>27.00</v>
          </cell>
          <cell r="I142" t="str">
            <v>0.00</v>
          </cell>
        </row>
        <row r="143">
          <cell r="A143" t="str">
            <v>egl-WSP12x40p</v>
          </cell>
          <cell r="B143" t="str">
            <v>ايجل فوط صحية نسائية كبير بالاجنحة 12شد×40فوطة</v>
          </cell>
          <cell r="C143" t="str">
            <v>VAT</v>
          </cell>
          <cell r="D143" t="str">
            <v>VAT</v>
          </cell>
          <cell r="E143" t="str">
            <v>egl-WSP12x40p</v>
          </cell>
          <cell r="F143" t="str">
            <v>CA</v>
          </cell>
          <cell r="G143" t="str">
            <v>1.00</v>
          </cell>
          <cell r="H143" t="str">
            <v>126.50</v>
          </cell>
          <cell r="I143" t="str">
            <v>133.14</v>
          </cell>
        </row>
        <row r="144">
          <cell r="A144" t="str">
            <v>egl-WTCP7OZ1K</v>
          </cell>
          <cell r="B144" t="str">
            <v>كاسات مياه بلاستيكية 7 اونص بيضاء 20شد×50ح</v>
          </cell>
          <cell r="C144" t="str">
            <v>VAT</v>
          </cell>
          <cell r="D144" t="str">
            <v>VAT</v>
          </cell>
          <cell r="E144" t="str">
            <v>egl-WTCP7OZ1K</v>
          </cell>
          <cell r="F144" t="str">
            <v>CA</v>
          </cell>
          <cell r="G144" t="str">
            <v>1.00</v>
          </cell>
          <cell r="H144" t="str">
            <v>22.00</v>
          </cell>
          <cell r="I144" t="str">
            <v>21.00</v>
          </cell>
        </row>
        <row r="145">
          <cell r="A145" t="str">
            <v>gem-MXRLGM150</v>
          </cell>
          <cell r="B145" t="str">
            <v>رول غيم 150 متر</v>
          </cell>
          <cell r="C145" t="str">
            <v>VAT</v>
          </cell>
          <cell r="D145" t="str">
            <v>VAT</v>
          </cell>
          <cell r="E145" t="str">
            <v>gem-MXRLGM150</v>
          </cell>
          <cell r="F145" t="str">
            <v>CA</v>
          </cell>
          <cell r="G145" t="str">
            <v>1.00</v>
          </cell>
          <cell r="H145" t="str">
            <v>26.09</v>
          </cell>
          <cell r="I145" t="str">
            <v>27.30</v>
          </cell>
        </row>
        <row r="146">
          <cell r="A146" t="str">
            <v>gem-MXRLGM200</v>
          </cell>
          <cell r="B146" t="str">
            <v>رول غيم 200 متر</v>
          </cell>
          <cell r="C146" t="str">
            <v>VAT</v>
          </cell>
          <cell r="D146" t="str">
            <v>VAT</v>
          </cell>
          <cell r="E146" t="str">
            <v>gem-MXRLGM200</v>
          </cell>
          <cell r="F146" t="str">
            <v>CA</v>
          </cell>
          <cell r="G146" t="str">
            <v>1.00</v>
          </cell>
          <cell r="H146" t="str">
            <v>35.00</v>
          </cell>
          <cell r="I146" t="str">
            <v>36.75</v>
          </cell>
        </row>
        <row r="147">
          <cell r="A147" t="str">
            <v>gem-MXRLGM300</v>
          </cell>
          <cell r="B147" t="str">
            <v>رول غيم ثلاثمائة متر</v>
          </cell>
          <cell r="C147" t="str">
            <v>VAT</v>
          </cell>
          <cell r="D147" t="str">
            <v>VAT</v>
          </cell>
          <cell r="E147" t="str">
            <v>gem-MXRLGM300</v>
          </cell>
          <cell r="F147" t="str">
            <v>CA</v>
          </cell>
          <cell r="G147" t="str">
            <v>1.00</v>
          </cell>
          <cell r="H147" t="str">
            <v>44.00</v>
          </cell>
          <cell r="I147" t="str">
            <v>46.20</v>
          </cell>
        </row>
        <row r="148">
          <cell r="A148" t="str">
            <v>INM-SHOPBAG22</v>
          </cell>
          <cell r="B148" t="str">
            <v>اكياس علاقي مقاس 22</v>
          </cell>
          <cell r="C148" t="str">
            <v>VAT</v>
          </cell>
          <cell r="D148" t="str">
            <v>VAT</v>
          </cell>
          <cell r="E148" t="str">
            <v>INM-SHOPBAG22</v>
          </cell>
          <cell r="F148" t="str">
            <v>CA</v>
          </cell>
          <cell r="G148" t="str">
            <v>1.00</v>
          </cell>
          <cell r="H148" t="str">
            <v>55.78</v>
          </cell>
          <cell r="I148" t="str">
            <v>55.78</v>
          </cell>
        </row>
        <row r="149">
          <cell r="A149" t="str">
            <v>INM-SHOPBAG24</v>
          </cell>
          <cell r="B149" t="str">
            <v>اكياس علاقي مقاس 24</v>
          </cell>
          <cell r="C149" t="str">
            <v>VAT</v>
          </cell>
          <cell r="D149" t="str">
            <v>VAT</v>
          </cell>
          <cell r="E149" t="str">
            <v>INM-SHOPBAG24</v>
          </cell>
          <cell r="F149" t="str">
            <v>CA</v>
          </cell>
          <cell r="G149" t="str">
            <v>1.00</v>
          </cell>
          <cell r="H149" t="str">
            <v>55.78</v>
          </cell>
          <cell r="I149" t="str">
            <v>55.78</v>
          </cell>
        </row>
        <row r="150">
          <cell r="A150" t="str">
            <v>NDH-Plat.5REC</v>
          </cell>
          <cell r="B150" t="str">
            <v>صحن رقم نص مستطيل 30شد × 50ح</v>
          </cell>
          <cell r="C150" t="str">
            <v>VAT</v>
          </cell>
          <cell r="D150" t="str">
            <v>VAT</v>
          </cell>
          <cell r="E150" t="str">
            <v>NDH-Plat.5REC</v>
          </cell>
          <cell r="F150" t="str">
            <v>CA</v>
          </cell>
          <cell r="G150" t="str">
            <v>1.00</v>
          </cell>
          <cell r="H150" t="str">
            <v>47.00</v>
          </cell>
          <cell r="I150" t="str">
            <v>46.20</v>
          </cell>
        </row>
        <row r="151">
          <cell r="A151" t="str">
            <v>NDH-Plat10DEB</v>
          </cell>
          <cell r="B151" t="str">
            <v>صحن رقم 10 عميق 20شد × 50ح</v>
          </cell>
          <cell r="C151" t="str">
            <v>VAT</v>
          </cell>
          <cell r="D151" t="str">
            <v>VAT</v>
          </cell>
          <cell r="E151" t="str">
            <v>NDH-Plat10DEB</v>
          </cell>
          <cell r="F151" t="str">
            <v>CA</v>
          </cell>
          <cell r="G151" t="str">
            <v>1.00</v>
          </cell>
          <cell r="H151" t="str">
            <v>47.00</v>
          </cell>
          <cell r="I151" t="str">
            <v>46.20</v>
          </cell>
        </row>
        <row r="152">
          <cell r="A152" t="str">
            <v>NDH-Plat15DEB</v>
          </cell>
          <cell r="B152" t="str">
            <v>صحن رقم 15 عميق 20شد × 50ح</v>
          </cell>
          <cell r="C152" t="str">
            <v>VAT</v>
          </cell>
          <cell r="D152" t="str">
            <v>VAT</v>
          </cell>
          <cell r="E152" t="str">
            <v>NDH-Plat15DEB</v>
          </cell>
          <cell r="F152" t="str">
            <v>CA</v>
          </cell>
          <cell r="G152" t="str">
            <v>1.00</v>
          </cell>
          <cell r="H152" t="str">
            <v>69.00</v>
          </cell>
          <cell r="I152" t="str">
            <v>69.30</v>
          </cell>
        </row>
        <row r="153">
          <cell r="A153" t="str">
            <v>NDH-Plat1RECT</v>
          </cell>
          <cell r="B153" t="str">
            <v>صحن رقم 1 مستطيل 20شد × 50ح</v>
          </cell>
          <cell r="C153" t="str">
            <v>VAT</v>
          </cell>
          <cell r="D153" t="str">
            <v>VAT</v>
          </cell>
          <cell r="E153" t="str">
            <v>NDH-Plat1RECT</v>
          </cell>
          <cell r="F153" t="str">
            <v>CA</v>
          </cell>
          <cell r="G153" t="str">
            <v>1.00</v>
          </cell>
          <cell r="H153" t="str">
            <v>50.00</v>
          </cell>
          <cell r="I153" t="str">
            <v>49.35</v>
          </cell>
        </row>
        <row r="154">
          <cell r="A154" t="str">
            <v>NDH-Plat2RECT</v>
          </cell>
          <cell r="B154" t="str">
            <v>صحن رقم 2مستطيل 20شد × 50ح</v>
          </cell>
          <cell r="C154" t="str">
            <v>VAT</v>
          </cell>
          <cell r="D154" t="str">
            <v>VAT</v>
          </cell>
          <cell r="E154" t="str">
            <v>NDH-Plat2RECT</v>
          </cell>
          <cell r="F154" t="str">
            <v>CA</v>
          </cell>
          <cell r="G154" t="str">
            <v>1.00</v>
          </cell>
          <cell r="H154" t="str">
            <v>79.00</v>
          </cell>
          <cell r="I154" t="str">
            <v>81.90</v>
          </cell>
        </row>
        <row r="155">
          <cell r="A155" t="str">
            <v>NDH-PLAT3RECT</v>
          </cell>
          <cell r="B155" t="str">
            <v>صحن رقم 3 مستطيل 20شد × 50ح</v>
          </cell>
          <cell r="C155" t="str">
            <v>VAT</v>
          </cell>
          <cell r="D155" t="str">
            <v>VAT</v>
          </cell>
          <cell r="E155" t="str">
            <v>NDH-PLAT3RECT</v>
          </cell>
          <cell r="F155" t="str">
            <v>CA</v>
          </cell>
          <cell r="G155" t="str">
            <v>1.00</v>
          </cell>
          <cell r="H155" t="str">
            <v>125.00</v>
          </cell>
          <cell r="I155" t="str">
            <v>126.00</v>
          </cell>
        </row>
        <row r="156">
          <cell r="A156" t="str">
            <v>NDH-spn.trn.s</v>
          </cell>
          <cell r="B156" t="str">
            <v>ملعقة بلاستيك شفاف صغيرة</v>
          </cell>
          <cell r="C156" t="str">
            <v>VAT</v>
          </cell>
          <cell r="D156" t="str">
            <v>VAT</v>
          </cell>
          <cell r="E156" t="str">
            <v>NDH-spn.trn.s</v>
          </cell>
          <cell r="F156" t="str">
            <v>CA</v>
          </cell>
          <cell r="G156" t="str">
            <v>1.00</v>
          </cell>
          <cell r="H156" t="str">
            <v>17.00</v>
          </cell>
          <cell r="I156" t="str">
            <v>17.85</v>
          </cell>
        </row>
        <row r="157">
          <cell r="A157" t="str">
            <v>NDH-spn.wht.s</v>
          </cell>
          <cell r="B157" t="str">
            <v>ملعقة بلاستيك ابيض صغيرة</v>
          </cell>
          <cell r="C157" t="str">
            <v>VAT</v>
          </cell>
          <cell r="D157" t="str">
            <v>VAT</v>
          </cell>
          <cell r="E157" t="str">
            <v>NDH-spn.wht.s</v>
          </cell>
          <cell r="F157" t="str">
            <v>CA</v>
          </cell>
          <cell r="G157" t="str">
            <v>1.00</v>
          </cell>
          <cell r="H157" t="str">
            <v>18.00</v>
          </cell>
          <cell r="I157" t="str">
            <v>18.90</v>
          </cell>
        </row>
        <row r="158">
          <cell r="A158" t="str">
            <v>NDH-SPN-BLK-L</v>
          </cell>
          <cell r="B158" t="str">
            <v>ملعقة بلاستيك اسود كبيرة</v>
          </cell>
          <cell r="C158" t="str">
            <v>VAT</v>
          </cell>
          <cell r="D158" t="str">
            <v>VAT</v>
          </cell>
          <cell r="E158" t="str">
            <v>NDH-SPN-BLK-L</v>
          </cell>
          <cell r="F158" t="str">
            <v>CA</v>
          </cell>
          <cell r="G158" t="str">
            <v>1.00</v>
          </cell>
          <cell r="H158" t="str">
            <v>40.00</v>
          </cell>
          <cell r="I158" t="str">
            <v>36.75</v>
          </cell>
        </row>
        <row r="159">
          <cell r="A159" t="str">
            <v>NDH-SPN-WHT-L</v>
          </cell>
          <cell r="B159" t="str">
            <v>ملعقة بلاستيك ابيض كبيرة</v>
          </cell>
          <cell r="C159" t="str">
            <v>VAT</v>
          </cell>
          <cell r="D159" t="str">
            <v>VAT</v>
          </cell>
          <cell r="E159" t="str">
            <v>NDH-SPN-WHT-L</v>
          </cell>
          <cell r="F159" t="str">
            <v>CA</v>
          </cell>
          <cell r="G159" t="str">
            <v>1.00</v>
          </cell>
          <cell r="H159" t="str">
            <v>40.00</v>
          </cell>
          <cell r="I159" t="str">
            <v>36.75</v>
          </cell>
        </row>
        <row r="160">
          <cell r="A160" t="str">
            <v>NDM-PC9OZFUTR</v>
          </cell>
          <cell r="B160" t="str">
            <v>كاسات ورقية فيوتشر 9 اونص بدون يد</v>
          </cell>
          <cell r="C160" t="str">
            <v>VAT</v>
          </cell>
          <cell r="D160" t="str">
            <v>VAT</v>
          </cell>
          <cell r="E160" t="str">
            <v>NDM-PC9OZFUTR</v>
          </cell>
          <cell r="F160" t="str">
            <v>CA</v>
          </cell>
          <cell r="G160" t="str">
            <v>1.00</v>
          </cell>
          <cell r="H160" t="str">
            <v>69.56</v>
          </cell>
          <cell r="I160" t="str">
            <v>71.21</v>
          </cell>
        </row>
        <row r="161">
          <cell r="A161" t="str">
            <v>NMZ-Bigspnwht</v>
          </cell>
          <cell r="B161" t="str">
            <v>ملاعق كبير بيضاء 1000 ملعقة</v>
          </cell>
          <cell r="C161" t="str">
            <v>VAT</v>
          </cell>
          <cell r="D161" t="str">
            <v>VAT</v>
          </cell>
          <cell r="E161" t="str">
            <v>NMZ-Bigspnwht</v>
          </cell>
          <cell r="F161" t="str">
            <v>CA</v>
          </cell>
          <cell r="G161" t="str">
            <v>1.00</v>
          </cell>
          <cell r="H161" t="str">
            <v>26.00</v>
          </cell>
          <cell r="I161" t="str">
            <v>26.00</v>
          </cell>
        </row>
        <row r="162">
          <cell r="A162" t="str">
            <v>NMZ-Forkwhite</v>
          </cell>
          <cell r="B162" t="str">
            <v>شوكة بيضاء 1000 شوكة</v>
          </cell>
          <cell r="C162" t="str">
            <v>VAT</v>
          </cell>
          <cell r="D162" t="str">
            <v>VAT</v>
          </cell>
          <cell r="E162" t="str">
            <v>NMZ-Forkwhite</v>
          </cell>
          <cell r="F162" t="str">
            <v>CA</v>
          </cell>
          <cell r="G162" t="str">
            <v>1.00</v>
          </cell>
          <cell r="H162" t="str">
            <v>35.00</v>
          </cell>
          <cell r="I162" t="str">
            <v>34.65</v>
          </cell>
        </row>
        <row r="163">
          <cell r="A163" t="str">
            <v>NMZ-Knifewhit</v>
          </cell>
          <cell r="B163" t="str">
            <v>سكين ابيض 1000  سكين</v>
          </cell>
          <cell r="C163" t="str">
            <v>VAT</v>
          </cell>
          <cell r="D163" t="str">
            <v>VAT</v>
          </cell>
          <cell r="E163" t="str">
            <v>NMZ-Knifewhit</v>
          </cell>
          <cell r="F163" t="str">
            <v>CA</v>
          </cell>
          <cell r="G163" t="str">
            <v>1.00</v>
          </cell>
          <cell r="H163" t="str">
            <v>27.00</v>
          </cell>
          <cell r="I163" t="str">
            <v>27.00</v>
          </cell>
        </row>
        <row r="164">
          <cell r="A164" t="str">
            <v>NMZ-Smlspnwht</v>
          </cell>
          <cell r="B164" t="str">
            <v>ملاعق صغيرة بيضاء 1000ملعقة</v>
          </cell>
          <cell r="C164" t="str">
            <v>VAT</v>
          </cell>
          <cell r="D164" t="str">
            <v>VAT</v>
          </cell>
          <cell r="E164" t="str">
            <v>NMZ-Smlspnwht</v>
          </cell>
          <cell r="F164" t="str">
            <v>CA</v>
          </cell>
          <cell r="G164" t="str">
            <v>1.00</v>
          </cell>
          <cell r="H164" t="str">
            <v>18.00</v>
          </cell>
          <cell r="I164" t="str">
            <v>18.90</v>
          </cell>
        </row>
        <row r="165">
          <cell r="A165" t="str">
            <v>OSS-WTCP6OZ1K</v>
          </cell>
          <cell r="B165" t="str">
            <v>كاسات مياه بلاستيكية 6 اونص بيضاء 20شد×50ح</v>
          </cell>
          <cell r="C165" t="str">
            <v>VAT</v>
          </cell>
          <cell r="D165" t="str">
            <v>VAT</v>
          </cell>
          <cell r="E165" t="str">
            <v>OSS-WTCP6OZ1K</v>
          </cell>
          <cell r="F165" t="str">
            <v>CA</v>
          </cell>
          <cell r="G165" t="str">
            <v>1.00</v>
          </cell>
          <cell r="H165" t="str">
            <v>20.00</v>
          </cell>
          <cell r="I165" t="str">
            <v>18.90</v>
          </cell>
        </row>
        <row r="166">
          <cell r="A166" t="str">
            <v>RMN-FSB06S10K</v>
          </cell>
          <cell r="B166" t="str">
            <v>نايلون حفظ طعام باكت مقاس 6 وزن 10 كيلو</v>
          </cell>
          <cell r="C166" t="str">
            <v>VAT</v>
          </cell>
          <cell r="D166" t="str">
            <v>VAT</v>
          </cell>
          <cell r="E166" t="str">
            <v>RMN-FSB06S10K</v>
          </cell>
          <cell r="F166" t="str">
            <v>CA</v>
          </cell>
          <cell r="G166" t="str">
            <v>1.00</v>
          </cell>
          <cell r="H166" t="str">
            <v>81.50</v>
          </cell>
          <cell r="I166" t="str">
            <v>84.00</v>
          </cell>
        </row>
        <row r="167">
          <cell r="A167" t="str">
            <v>RMN-FSB08S10K</v>
          </cell>
          <cell r="B167" t="str">
            <v>نايلون حفظ طعام باكت مقاس 8 وزن 10 كيلو</v>
          </cell>
          <cell r="C167" t="str">
            <v>VAT</v>
          </cell>
          <cell r="D167" t="str">
            <v>VAT</v>
          </cell>
          <cell r="E167" t="str">
            <v>RMN-FSB08S10K</v>
          </cell>
          <cell r="F167" t="str">
            <v>CA</v>
          </cell>
          <cell r="G167" t="str">
            <v>1.00</v>
          </cell>
          <cell r="H167" t="str">
            <v>81.50</v>
          </cell>
          <cell r="I167" t="str">
            <v>84.00</v>
          </cell>
        </row>
        <row r="168">
          <cell r="A168" t="str">
            <v>RMN-FSB10P200</v>
          </cell>
          <cell r="B168" t="str">
            <v>اكياس حفظ طعام مقاس 10 عبوة 100×200جم</v>
          </cell>
          <cell r="C168" t="str">
            <v>VAT</v>
          </cell>
          <cell r="D168" t="str">
            <v>VAT</v>
          </cell>
          <cell r="E168" t="str">
            <v>RMN-FSB10P200</v>
          </cell>
          <cell r="F168" t="str">
            <v>CA</v>
          </cell>
          <cell r="G168" t="str">
            <v>1.00</v>
          </cell>
          <cell r="H168" t="str">
            <v>151.00</v>
          </cell>
          <cell r="I168" t="str">
            <v>155.40</v>
          </cell>
        </row>
        <row r="169">
          <cell r="A169" t="str">
            <v>RMN-FSB10S10K</v>
          </cell>
          <cell r="B169" t="str">
            <v>نايلون حفظ طعام باكت مقاس 10 وزن 10 كيلو</v>
          </cell>
          <cell r="C169" t="str">
            <v>VAT</v>
          </cell>
          <cell r="D169" t="str">
            <v>VAT</v>
          </cell>
          <cell r="E169" t="str">
            <v>RMN-FSB10S10K</v>
          </cell>
          <cell r="F169" t="str">
            <v>CA</v>
          </cell>
          <cell r="G169" t="str">
            <v>1.00</v>
          </cell>
          <cell r="H169" t="str">
            <v>81.50</v>
          </cell>
          <cell r="I169" t="str">
            <v>84.00</v>
          </cell>
        </row>
        <row r="170">
          <cell r="A170" t="str">
            <v>RMN-FSB12P200</v>
          </cell>
          <cell r="B170" t="str">
            <v>اكياس حفظ طعام مقاس 12 عبوة 100×200جم</v>
          </cell>
          <cell r="C170" t="str">
            <v>VAT</v>
          </cell>
          <cell r="D170" t="str">
            <v>VAT</v>
          </cell>
          <cell r="E170" t="str">
            <v>RMN-FSB12P200</v>
          </cell>
          <cell r="F170" t="str">
            <v>CA</v>
          </cell>
          <cell r="G170" t="str">
            <v>1.00</v>
          </cell>
          <cell r="H170" t="str">
            <v>151.00</v>
          </cell>
          <cell r="I170" t="str">
            <v>155.40</v>
          </cell>
        </row>
        <row r="171">
          <cell r="A171" t="str">
            <v>RMN-FSB12S10K</v>
          </cell>
          <cell r="B171" t="str">
            <v>نايلون حفظ طعام باكت مقاس 12 وزن 10 كيلو</v>
          </cell>
          <cell r="C171" t="str">
            <v>VAT</v>
          </cell>
          <cell r="D171" t="str">
            <v>VAT</v>
          </cell>
          <cell r="E171" t="str">
            <v>RMN-FSB12S10K</v>
          </cell>
          <cell r="F171" t="str">
            <v>CA</v>
          </cell>
          <cell r="G171" t="str">
            <v>1.00</v>
          </cell>
          <cell r="H171" t="str">
            <v>81.50</v>
          </cell>
          <cell r="I171" t="str">
            <v>84.00</v>
          </cell>
        </row>
        <row r="172">
          <cell r="A172" t="str">
            <v>RMN-FSB14P200</v>
          </cell>
          <cell r="B172" t="str">
            <v>اكياس حفظ طعام مقاس 14 عبوة 40×500جم</v>
          </cell>
          <cell r="C172" t="str">
            <v>VAT</v>
          </cell>
          <cell r="D172" t="str">
            <v>VAT</v>
          </cell>
          <cell r="E172" t="str">
            <v>RMN-FSB14P200</v>
          </cell>
          <cell r="F172" t="str">
            <v>CA</v>
          </cell>
          <cell r="G172" t="str">
            <v>1.00</v>
          </cell>
          <cell r="H172" t="str">
            <v>151.00</v>
          </cell>
          <cell r="I172" t="str">
            <v>155.40</v>
          </cell>
        </row>
        <row r="173">
          <cell r="A173" t="str">
            <v>RMN-FSB14S10K</v>
          </cell>
          <cell r="B173" t="str">
            <v>نايلون حفظ طعام باكت مقاس 14 وزن 10 كيلو</v>
          </cell>
          <cell r="C173" t="str">
            <v>VAT</v>
          </cell>
          <cell r="D173" t="str">
            <v>VAT</v>
          </cell>
          <cell r="E173" t="str">
            <v>RMN-FSB14S10K</v>
          </cell>
          <cell r="F173" t="str">
            <v>CA</v>
          </cell>
          <cell r="G173" t="str">
            <v>1.00</v>
          </cell>
          <cell r="H173" t="str">
            <v>81.50</v>
          </cell>
          <cell r="I173" t="str">
            <v>84.00</v>
          </cell>
        </row>
        <row r="174">
          <cell r="A174" t="str">
            <v>RMN-FSB6P200G</v>
          </cell>
          <cell r="B174" t="str">
            <v>اكياس حفظ طعام مقاس 6 عبوة 100×200جم</v>
          </cell>
          <cell r="C174" t="str">
            <v>VAT</v>
          </cell>
          <cell r="D174" t="str">
            <v>VAT</v>
          </cell>
          <cell r="E174" t="str">
            <v>RMN-FSB6P200G</v>
          </cell>
          <cell r="F174" t="str">
            <v>CA</v>
          </cell>
          <cell r="G174" t="str">
            <v>1.00</v>
          </cell>
          <cell r="H174" t="str">
            <v>165.00</v>
          </cell>
          <cell r="I174" t="str">
            <v>162.75</v>
          </cell>
        </row>
        <row r="175">
          <cell r="A175" t="str">
            <v>RMN-FSB8P200G</v>
          </cell>
          <cell r="B175" t="str">
            <v>اكياس حفظ طعام مقاس 8 عبوة 100×200جم</v>
          </cell>
          <cell r="C175" t="str">
            <v>VAT</v>
          </cell>
          <cell r="D175" t="str">
            <v>VAT</v>
          </cell>
          <cell r="E175" t="str">
            <v>RMN-FSB8P200G</v>
          </cell>
          <cell r="F175" t="str">
            <v>CA</v>
          </cell>
          <cell r="G175" t="str">
            <v>1.00</v>
          </cell>
          <cell r="H175" t="str">
            <v>151.00</v>
          </cell>
          <cell r="I175" t="str">
            <v>155.40</v>
          </cell>
        </row>
        <row r="176">
          <cell r="A176" t="str">
            <v>RMN-SHP151500</v>
          </cell>
          <cell r="B176" t="str">
            <v xml:space="preserve">اكياس تسوق بالكرتون مقاس 15 1500 كيس </v>
          </cell>
          <cell r="C176" t="str">
            <v>VAT</v>
          </cell>
          <cell r="D176" t="str">
            <v>VAT</v>
          </cell>
          <cell r="E176" t="str">
            <v>RMN-SHP151500</v>
          </cell>
          <cell r="F176" t="str">
            <v>CA</v>
          </cell>
          <cell r="G176" t="str">
            <v>1.00</v>
          </cell>
          <cell r="H176" t="str">
            <v>19.00</v>
          </cell>
          <cell r="I176" t="str">
            <v>17.85</v>
          </cell>
        </row>
        <row r="177">
          <cell r="A177" t="str">
            <v>RMN-SHP181500</v>
          </cell>
          <cell r="B177" t="str">
            <v xml:space="preserve">اكياس تسوق بالكرتون مقاس 18 1500 كيس </v>
          </cell>
          <cell r="C177" t="str">
            <v>VAT</v>
          </cell>
          <cell r="D177" t="str">
            <v>VAT</v>
          </cell>
          <cell r="E177" t="str">
            <v>RMN-SHP181500</v>
          </cell>
          <cell r="F177" t="str">
            <v>CA</v>
          </cell>
          <cell r="G177" t="str">
            <v>1.00</v>
          </cell>
          <cell r="H177" t="str">
            <v>37.00</v>
          </cell>
          <cell r="I177" t="str">
            <v>34.65</v>
          </cell>
        </row>
        <row r="178">
          <cell r="A178" t="str">
            <v>RMN-SHP220800</v>
          </cell>
          <cell r="B178" t="str">
            <v xml:space="preserve">اكياس تسوق بالكرتون مقاس 22 800 كيس </v>
          </cell>
          <cell r="C178" t="str">
            <v>VAT</v>
          </cell>
          <cell r="D178" t="str">
            <v>VAT</v>
          </cell>
          <cell r="E178" t="str">
            <v>RMN-SHP220800</v>
          </cell>
          <cell r="F178" t="str">
            <v>CA</v>
          </cell>
          <cell r="G178" t="str">
            <v>1.00</v>
          </cell>
          <cell r="H178" t="str">
            <v>34.16</v>
          </cell>
          <cell r="I178" t="str">
            <v>35.28</v>
          </cell>
        </row>
        <row r="179">
          <cell r="A179" t="str">
            <v>RMN-SHP280200</v>
          </cell>
          <cell r="B179" t="str">
            <v xml:space="preserve">اكياس تسوق بالكرتون مقاس 28 200 كيس </v>
          </cell>
          <cell r="C179" t="str">
            <v>VAT</v>
          </cell>
          <cell r="D179" t="str">
            <v>VAT</v>
          </cell>
          <cell r="E179" t="str">
            <v>RMN-SHP280200</v>
          </cell>
          <cell r="F179" t="str">
            <v>CA</v>
          </cell>
          <cell r="G179" t="str">
            <v>1.00</v>
          </cell>
          <cell r="H179" t="str">
            <v>18.30</v>
          </cell>
          <cell r="I179" t="str">
            <v>18.90</v>
          </cell>
        </row>
        <row r="180">
          <cell r="A180" t="str">
            <v>RMN-SHP320150</v>
          </cell>
          <cell r="B180" t="str">
            <v xml:space="preserve">اكياس تسوق بالكرتون مقاس 32 150 كيس </v>
          </cell>
          <cell r="C180" t="str">
            <v>VAT</v>
          </cell>
          <cell r="D180" t="str">
            <v>VAT</v>
          </cell>
          <cell r="E180" t="str">
            <v>RMN-SHP320150</v>
          </cell>
          <cell r="F180" t="str">
            <v>CA</v>
          </cell>
          <cell r="G180" t="str">
            <v>1.00</v>
          </cell>
          <cell r="H180" t="str">
            <v>22.00</v>
          </cell>
          <cell r="I180" t="str">
            <v>22.68</v>
          </cell>
        </row>
        <row r="181">
          <cell r="A181" t="str">
            <v>RMN-SHPBG1512</v>
          </cell>
          <cell r="B181" t="str">
            <v>اكياس تسوق 15 × 12</v>
          </cell>
          <cell r="C181" t="str">
            <v>VAT</v>
          </cell>
          <cell r="D181" t="str">
            <v>VAT</v>
          </cell>
          <cell r="E181" t="str">
            <v>RMN-SHPBG1512</v>
          </cell>
          <cell r="F181" t="str">
            <v>CA</v>
          </cell>
          <cell r="G181" t="str">
            <v>1.00</v>
          </cell>
          <cell r="H181" t="str">
            <v>55.78</v>
          </cell>
          <cell r="I181" t="str">
            <v>55.78</v>
          </cell>
        </row>
        <row r="182">
          <cell r="A182" t="str">
            <v>RMN-SHPBG1810</v>
          </cell>
          <cell r="B182" t="str">
            <v xml:space="preserve">اكياس تسوق باله مقاس 18 10كيلو </v>
          </cell>
          <cell r="C182" t="str">
            <v>VAT</v>
          </cell>
          <cell r="D182" t="str">
            <v>VAT</v>
          </cell>
          <cell r="E182" t="str">
            <v>RMN-SHPBG1810</v>
          </cell>
          <cell r="F182" t="str">
            <v>CA</v>
          </cell>
          <cell r="G182" t="str">
            <v>1.00</v>
          </cell>
          <cell r="H182" t="str">
            <v>71.00</v>
          </cell>
          <cell r="I182" t="str">
            <v>70.35</v>
          </cell>
        </row>
        <row r="183">
          <cell r="A183" t="str">
            <v>RMN-SHPBG1812</v>
          </cell>
          <cell r="B183" t="str">
            <v>اكياس تسوق 18 × 12</v>
          </cell>
          <cell r="C183" t="str">
            <v>VAT</v>
          </cell>
          <cell r="D183" t="str">
            <v>VAT</v>
          </cell>
          <cell r="E183" t="str">
            <v>RMN-SHPBG1812</v>
          </cell>
          <cell r="F183" t="str">
            <v>CA</v>
          </cell>
          <cell r="G183" t="str">
            <v>1.00</v>
          </cell>
          <cell r="H183" t="str">
            <v>55.78</v>
          </cell>
          <cell r="I183" t="str">
            <v>55.78</v>
          </cell>
        </row>
        <row r="184">
          <cell r="A184" t="str">
            <v>RMN-SHPBG2210</v>
          </cell>
          <cell r="B184" t="str">
            <v xml:space="preserve">اكياس تسوق باله مقاس 22 10كيلو </v>
          </cell>
          <cell r="C184" t="str">
            <v>VAT</v>
          </cell>
          <cell r="D184" t="str">
            <v>VAT</v>
          </cell>
          <cell r="E184" t="str">
            <v>RMN-SHPBG2210</v>
          </cell>
          <cell r="F184" t="str">
            <v>CA</v>
          </cell>
          <cell r="G184" t="str">
            <v>1.00</v>
          </cell>
          <cell r="H184" t="str">
            <v>71.00</v>
          </cell>
          <cell r="I184" t="str">
            <v>70.35</v>
          </cell>
        </row>
        <row r="185">
          <cell r="A185" t="str">
            <v>RMN-SHPBG2212</v>
          </cell>
          <cell r="B185" t="str">
            <v>اكياس تسوق 22 × 12</v>
          </cell>
          <cell r="C185" t="str">
            <v>VAT</v>
          </cell>
          <cell r="D185" t="str">
            <v>VAT</v>
          </cell>
          <cell r="E185" t="str">
            <v>RMN-SHPBG2212</v>
          </cell>
          <cell r="F185" t="str">
            <v>CA</v>
          </cell>
          <cell r="G185" t="str">
            <v>1.00</v>
          </cell>
          <cell r="H185" t="str">
            <v>85.00</v>
          </cell>
          <cell r="I185" t="str">
            <v>84.00</v>
          </cell>
        </row>
        <row r="186">
          <cell r="A186" t="str">
            <v>RMN-SHPBG2812</v>
          </cell>
          <cell r="B186" t="str">
            <v>اكياس تسوق 28 × 12</v>
          </cell>
          <cell r="C186" t="str">
            <v>VAT</v>
          </cell>
          <cell r="D186" t="str">
            <v>VAT</v>
          </cell>
          <cell r="E186" t="str">
            <v>RMN-SHPBG2812</v>
          </cell>
          <cell r="F186" t="str">
            <v>CA</v>
          </cell>
          <cell r="G186" t="str">
            <v>1.00</v>
          </cell>
          <cell r="H186" t="str">
            <v>79.30</v>
          </cell>
          <cell r="I186" t="str">
            <v>81.90</v>
          </cell>
        </row>
        <row r="187">
          <cell r="A187" t="str">
            <v>RMN-TB5G10R4K</v>
          </cell>
          <cell r="B187" t="str">
            <v>اكياس نفايات رول 5 جالون 10 × 4ك</v>
          </cell>
          <cell r="C187" t="str">
            <v>VAT</v>
          </cell>
          <cell r="D187" t="str">
            <v>VAT</v>
          </cell>
          <cell r="E187" t="str">
            <v>RMN-TB5G10R4K</v>
          </cell>
          <cell r="F187" t="str">
            <v>CA</v>
          </cell>
          <cell r="G187" t="str">
            <v>1.00</v>
          </cell>
          <cell r="H187" t="str">
            <v>32.33</v>
          </cell>
          <cell r="I187" t="str">
            <v>33.39</v>
          </cell>
        </row>
        <row r="188">
          <cell r="A188" t="str">
            <v>RMN-TBR10G10R</v>
          </cell>
          <cell r="B188" t="str">
            <v>اكياس نفايات رول 10 جالون 10 رول</v>
          </cell>
          <cell r="C188" t="str">
            <v>VAT</v>
          </cell>
          <cell r="D188" t="str">
            <v>VAT</v>
          </cell>
          <cell r="E188" t="str">
            <v>RMN-TBR10G10R</v>
          </cell>
          <cell r="F188" t="str">
            <v>CA</v>
          </cell>
          <cell r="G188" t="str">
            <v>1.00</v>
          </cell>
          <cell r="H188" t="str">
            <v>32.33</v>
          </cell>
          <cell r="I188" t="str">
            <v>33.39</v>
          </cell>
        </row>
        <row r="189">
          <cell r="A189" t="str">
            <v>RMN-TBR8G10RL</v>
          </cell>
          <cell r="B189" t="str">
            <v>اكياس نفايات رول 8 جالون 10رول</v>
          </cell>
          <cell r="C189" t="str">
            <v>VAT</v>
          </cell>
          <cell r="D189" t="str">
            <v>VAT</v>
          </cell>
          <cell r="E189" t="str">
            <v>RMN-TBR8G10RL</v>
          </cell>
          <cell r="F189" t="str">
            <v>CA</v>
          </cell>
          <cell r="G189" t="str">
            <v>1.00</v>
          </cell>
          <cell r="H189" t="str">
            <v>32.33</v>
          </cell>
          <cell r="I189" t="str">
            <v>33.39</v>
          </cell>
        </row>
        <row r="190">
          <cell r="A190" t="str">
            <v>RMN-TC1X20X6K</v>
          </cell>
          <cell r="B190" t="str">
            <v>سفرة رول مطبوع 1×20×6 كيلو</v>
          </cell>
          <cell r="C190" t="str">
            <v>VAT</v>
          </cell>
          <cell r="D190" t="str">
            <v>VAT</v>
          </cell>
          <cell r="E190" t="str">
            <v>RMN-TC1X20X6K</v>
          </cell>
          <cell r="F190" t="str">
            <v>CA</v>
          </cell>
          <cell r="G190" t="str">
            <v>1.00</v>
          </cell>
          <cell r="H190" t="str">
            <v>65.00</v>
          </cell>
          <cell r="I190" t="str">
            <v>63.00</v>
          </cell>
        </row>
        <row r="191">
          <cell r="A191" t="str">
            <v>spc-BCT101040</v>
          </cell>
          <cell r="B191" t="str">
            <v>مناديل حمام سيتي 100 منديل مزدوج 4شد×8+2ح</v>
          </cell>
          <cell r="C191" t="str">
            <v>VAT</v>
          </cell>
          <cell r="D191" t="str">
            <v>VAT</v>
          </cell>
          <cell r="E191" t="str">
            <v>spc-BCT101040</v>
          </cell>
          <cell r="F191" t="str">
            <v>CA</v>
          </cell>
          <cell r="G191" t="str">
            <v>1.00</v>
          </cell>
          <cell r="H191" t="str">
            <v>19.00</v>
          </cell>
          <cell r="I191" t="str">
            <v>18.38</v>
          </cell>
        </row>
        <row r="192">
          <cell r="A192" t="str">
            <v>spc-BMO201248</v>
          </cell>
          <cell r="B192" t="str">
            <v>مناديل حمام مشوار 200 منديل 4شد×9+3 ح</v>
          </cell>
          <cell r="C192" t="str">
            <v>VAT</v>
          </cell>
          <cell r="D192" t="str">
            <v>VAT</v>
          </cell>
          <cell r="E192" t="str">
            <v>spc-BMO201248</v>
          </cell>
          <cell r="F192" t="str">
            <v>CA</v>
          </cell>
          <cell r="G192" t="str">
            <v>1.00</v>
          </cell>
          <cell r="H192" t="str">
            <v>52.00</v>
          </cell>
          <cell r="I192" t="str">
            <v>52.50</v>
          </cell>
        </row>
        <row r="193">
          <cell r="A193" t="str">
            <v>spc-BMO900224</v>
          </cell>
          <cell r="B193" t="str">
            <v>مناديل حمام مشوار 24شد×2حبه ، 48 حبة</v>
          </cell>
          <cell r="C193" t="str">
            <v>VAT</v>
          </cell>
          <cell r="D193" t="str">
            <v>VAT</v>
          </cell>
          <cell r="E193" t="str">
            <v>spc-BMO900224</v>
          </cell>
          <cell r="F193" t="str">
            <v>CA</v>
          </cell>
          <cell r="G193" t="str">
            <v>1.00</v>
          </cell>
          <cell r="H193" t="str">
            <v>18.00</v>
          </cell>
          <cell r="I193" t="str">
            <v>18.90</v>
          </cell>
        </row>
        <row r="194">
          <cell r="A194" t="str">
            <v>spc-exx255212</v>
          </cell>
          <cell r="B194" t="str">
            <v>couch cover 25mtrs 52cm 1x12</v>
          </cell>
          <cell r="C194" t="str">
            <v>VAT</v>
          </cell>
          <cell r="D194" t="str">
            <v>VAT</v>
          </cell>
          <cell r="E194" t="str">
            <v>spc-exx255212</v>
          </cell>
          <cell r="F194" t="str">
            <v>CA</v>
          </cell>
          <cell r="G194" t="str">
            <v>1.00</v>
          </cell>
          <cell r="H194" t="str">
            <v>40.00</v>
          </cell>
          <cell r="I194" t="str">
            <v>39.90</v>
          </cell>
        </row>
        <row r="195">
          <cell r="A195" t="str">
            <v>spc-FCD100636</v>
          </cell>
          <cell r="B195" t="str">
            <v>مناديل علب سيتي 100 مزدوج 6شد×6ح</v>
          </cell>
          <cell r="C195" t="str">
            <v>VAT</v>
          </cell>
          <cell r="D195" t="str">
            <v>VAT</v>
          </cell>
          <cell r="E195" t="str">
            <v>spc-FCD100636</v>
          </cell>
          <cell r="F195" t="str">
            <v>CA</v>
          </cell>
          <cell r="G195" t="str">
            <v>1.00</v>
          </cell>
          <cell r="H195" t="str">
            <v>43.00</v>
          </cell>
          <cell r="I195" t="str">
            <v>43.05</v>
          </cell>
        </row>
        <row r="196">
          <cell r="A196" t="str">
            <v>spc-FCN161050</v>
          </cell>
          <cell r="B196" t="str">
            <v>مناديل كيس سيتي 160 مزدوج 5شد×10ح</v>
          </cell>
          <cell r="C196" t="str">
            <v>VAT</v>
          </cell>
          <cell r="D196" t="str">
            <v>VAT</v>
          </cell>
          <cell r="E196" t="str">
            <v>spc-FCN161050</v>
          </cell>
          <cell r="F196" t="str">
            <v>CA</v>
          </cell>
          <cell r="G196" t="str">
            <v>1.00</v>
          </cell>
          <cell r="H196" t="str">
            <v>99.00</v>
          </cell>
          <cell r="I196" t="str">
            <v>101.50</v>
          </cell>
        </row>
        <row r="197">
          <cell r="A197" t="str">
            <v>spc-FCN900636</v>
          </cell>
          <cell r="B197" t="str">
            <v>مناديل علب سيتي 90 مزدوج 6شد×6ح</v>
          </cell>
          <cell r="C197" t="str">
            <v>VAT</v>
          </cell>
          <cell r="D197" t="str">
            <v>VAT</v>
          </cell>
          <cell r="E197" t="str">
            <v>spc-FCN900636</v>
          </cell>
          <cell r="F197" t="str">
            <v>CA</v>
          </cell>
          <cell r="G197" t="str">
            <v>1.00</v>
          </cell>
          <cell r="H197" t="str">
            <v>43.00</v>
          </cell>
          <cell r="I197" t="str">
            <v>43.05</v>
          </cell>
        </row>
        <row r="198">
          <cell r="A198" t="str">
            <v>spc-FCR160360</v>
          </cell>
          <cell r="B198" t="str">
            <v>مناديل كيس سيتي 160 مزدوج 20شد×3ح</v>
          </cell>
          <cell r="C198" t="str">
            <v>VAT</v>
          </cell>
          <cell r="D198" t="str">
            <v>VAT</v>
          </cell>
          <cell r="E198" t="str">
            <v>spc-FCR160360</v>
          </cell>
          <cell r="F198" t="str">
            <v>CA</v>
          </cell>
          <cell r="G198" t="str">
            <v>1.00</v>
          </cell>
          <cell r="H198" t="str">
            <v>93.00</v>
          </cell>
          <cell r="I198" t="str">
            <v>95.55</v>
          </cell>
        </row>
        <row r="199">
          <cell r="A199" t="str">
            <v>spc-FCR180360</v>
          </cell>
          <cell r="B199" t="str">
            <v>مناديل كيس سيتي 180 مزدوج 20شد×3ح</v>
          </cell>
          <cell r="C199" t="str">
            <v>VAT</v>
          </cell>
          <cell r="D199" t="str">
            <v>VAT</v>
          </cell>
          <cell r="E199" t="str">
            <v>spc-FCR180360</v>
          </cell>
          <cell r="F199" t="str">
            <v>CA</v>
          </cell>
          <cell r="G199" t="str">
            <v>1.00</v>
          </cell>
          <cell r="H199" t="str">
            <v>93.00</v>
          </cell>
          <cell r="I199" t="str">
            <v>95.55</v>
          </cell>
        </row>
        <row r="200">
          <cell r="A200" t="str">
            <v>spc-FCR180530</v>
          </cell>
          <cell r="B200" t="str">
            <v>مناديل كيس سيتي 180 مزدوج 6شد×5ح</v>
          </cell>
          <cell r="C200" t="str">
            <v>VAT</v>
          </cell>
          <cell r="D200" t="str">
            <v>VAT</v>
          </cell>
          <cell r="E200" t="str">
            <v>spc-FCR180530</v>
          </cell>
          <cell r="F200" t="str">
            <v>CA</v>
          </cell>
          <cell r="G200" t="str">
            <v>1.00</v>
          </cell>
          <cell r="H200" t="str">
            <v>46.00</v>
          </cell>
          <cell r="I200" t="str">
            <v>47.25</v>
          </cell>
        </row>
        <row r="201">
          <cell r="A201" t="str">
            <v>spc-FCR180660</v>
          </cell>
          <cell r="B201" t="str">
            <v>مناديل كيس سيتي 180 مزدوج 10شد×6ح</v>
          </cell>
          <cell r="C201" t="str">
            <v>VAT</v>
          </cell>
          <cell r="D201" t="str">
            <v>VAT</v>
          </cell>
          <cell r="E201" t="str">
            <v>spc-FCR180660</v>
          </cell>
          <cell r="F201" t="str">
            <v>CA</v>
          </cell>
          <cell r="G201" t="str">
            <v>1.00</v>
          </cell>
          <cell r="H201" t="str">
            <v>89.00</v>
          </cell>
          <cell r="I201" t="str">
            <v>92.40</v>
          </cell>
        </row>
        <row r="202">
          <cell r="A202" t="str">
            <v>spc-FCR181050</v>
          </cell>
          <cell r="B202" t="str">
            <v>مناديل كيس سيتي 180 مزدوج 5شد×10ح</v>
          </cell>
          <cell r="C202" t="str">
            <v>VAT</v>
          </cell>
          <cell r="D202" t="str">
            <v>VAT</v>
          </cell>
          <cell r="E202" t="str">
            <v>spc-FCR181050</v>
          </cell>
          <cell r="F202" t="str">
            <v>CA</v>
          </cell>
          <cell r="G202" t="str">
            <v>1.00</v>
          </cell>
          <cell r="H202" t="str">
            <v>97.00</v>
          </cell>
          <cell r="I202" t="str">
            <v>97.65</v>
          </cell>
        </row>
        <row r="203">
          <cell r="A203" t="str">
            <v>spc-FCT750636</v>
          </cell>
          <cell r="B203" t="str">
            <v>مناديل علب سيتي 75 مزدوج 6شد×6ح</v>
          </cell>
          <cell r="C203" t="str">
            <v>VAT</v>
          </cell>
          <cell r="D203" t="str">
            <v>VAT</v>
          </cell>
          <cell r="E203" t="str">
            <v>spc-FCT750636</v>
          </cell>
          <cell r="F203" t="str">
            <v>CA</v>
          </cell>
          <cell r="G203" t="str">
            <v>1.00</v>
          </cell>
          <cell r="H203" t="str">
            <v>30.00</v>
          </cell>
          <cell r="I203" t="str">
            <v>30.97</v>
          </cell>
        </row>
        <row r="204">
          <cell r="A204" t="str">
            <v>spc-FER151050</v>
          </cell>
          <cell r="B204" t="str">
            <v>مناديل كيس اكسلانس 150 مزدوج 5شد×10ح</v>
          </cell>
          <cell r="C204" t="str">
            <v>VAT</v>
          </cell>
          <cell r="D204" t="str">
            <v>VAT</v>
          </cell>
          <cell r="E204" t="str">
            <v>spc-FER151050</v>
          </cell>
          <cell r="F204" t="str">
            <v>CA</v>
          </cell>
          <cell r="G204" t="str">
            <v>1.00</v>
          </cell>
          <cell r="H204" t="str">
            <v>91.00</v>
          </cell>
          <cell r="I204" t="str">
            <v>91.35</v>
          </cell>
        </row>
        <row r="205">
          <cell r="A205" t="str">
            <v>spc-FEX100636</v>
          </cell>
          <cell r="B205" t="str">
            <v>مناديل علب اكسلانس 100 مزدوج 6شد×6ح</v>
          </cell>
          <cell r="C205" t="str">
            <v>VAT</v>
          </cell>
          <cell r="D205" t="str">
            <v>VAT</v>
          </cell>
          <cell r="E205" t="str">
            <v>spc-FEX100636</v>
          </cell>
          <cell r="F205" t="str">
            <v>CA</v>
          </cell>
          <cell r="G205" t="str">
            <v>1.00</v>
          </cell>
          <cell r="H205" t="str">
            <v>66.00</v>
          </cell>
          <cell r="I205" t="str">
            <v>68.25</v>
          </cell>
        </row>
        <row r="206">
          <cell r="A206" t="str">
            <v>spc-FFR601040</v>
          </cell>
          <cell r="B206" t="str">
            <v>مناديل كيس فاشون ستمائة منديل مفرد 4شد×10ح</v>
          </cell>
          <cell r="C206" t="str">
            <v>VAT</v>
          </cell>
          <cell r="D206" t="str">
            <v>VAT</v>
          </cell>
          <cell r="E206" t="str">
            <v>spc-FFR601040</v>
          </cell>
          <cell r="F206" t="str">
            <v>CA</v>
          </cell>
          <cell r="G206" t="str">
            <v>1.00</v>
          </cell>
          <cell r="H206" t="str">
            <v>102.00</v>
          </cell>
          <cell r="I206" t="str">
            <v>107.10</v>
          </cell>
        </row>
        <row r="207">
          <cell r="A207" t="str">
            <v>spc-FMN100636</v>
          </cell>
          <cell r="B207" t="str">
            <v>مناديل علب مشوار 100 مزدوج 6شد × 6ح</v>
          </cell>
          <cell r="C207" t="str">
            <v>VAT</v>
          </cell>
          <cell r="D207" t="str">
            <v>VAT</v>
          </cell>
          <cell r="E207" t="str">
            <v>spc-FMN100636</v>
          </cell>
          <cell r="F207" t="str">
            <v>CA</v>
          </cell>
          <cell r="G207" t="str">
            <v>1.00</v>
          </cell>
          <cell r="H207" t="str">
            <v>52.00</v>
          </cell>
          <cell r="I207" t="str">
            <v>50.40</v>
          </cell>
        </row>
        <row r="208">
          <cell r="A208" t="str">
            <v>spc-Fmn181050</v>
          </cell>
          <cell r="B208" t="str">
            <v>مناديل كيس مشوار 180 منديل 5شدات ف 10حبات</v>
          </cell>
          <cell r="C208" t="str">
            <v>VAT</v>
          </cell>
          <cell r="D208" t="str">
            <v>VAT</v>
          </cell>
          <cell r="E208" t="str">
            <v>spc-Fmn181050</v>
          </cell>
          <cell r="F208" t="str">
            <v>CA</v>
          </cell>
          <cell r="G208" t="str">
            <v>1.00</v>
          </cell>
          <cell r="H208" t="str">
            <v>110.00</v>
          </cell>
          <cell r="I208" t="str">
            <v>112.35</v>
          </cell>
        </row>
        <row r="209">
          <cell r="A209" t="str">
            <v>spc-FMN201050</v>
          </cell>
          <cell r="B209" t="str">
            <v>مناديل كيس مشوار 200 مزدوج 5شد×10ح</v>
          </cell>
          <cell r="C209" t="str">
            <v>VAT</v>
          </cell>
          <cell r="D209" t="str">
            <v>VAT</v>
          </cell>
          <cell r="E209" t="str">
            <v>spc-FMN201050</v>
          </cell>
          <cell r="F209" t="str">
            <v>CA</v>
          </cell>
          <cell r="G209" t="str">
            <v>1.00</v>
          </cell>
          <cell r="H209" t="str">
            <v>110.00</v>
          </cell>
          <cell r="I209" t="str">
            <v>112.35</v>
          </cell>
        </row>
        <row r="210">
          <cell r="A210" t="str">
            <v>spc-FMN900636</v>
          </cell>
          <cell r="B210" t="str">
            <v>مناديل علب مشوار 90مزدوج 6شد × 6ح</v>
          </cell>
          <cell r="C210" t="str">
            <v>VAT</v>
          </cell>
          <cell r="D210" t="str">
            <v>VAT</v>
          </cell>
          <cell r="E210" t="str">
            <v>spc-FMN900636</v>
          </cell>
          <cell r="F210" t="str">
            <v>CA</v>
          </cell>
          <cell r="G210" t="str">
            <v>1.00</v>
          </cell>
          <cell r="H210" t="str">
            <v>50.00</v>
          </cell>
          <cell r="I210" t="str">
            <v>50.40</v>
          </cell>
        </row>
        <row r="211">
          <cell r="A211" t="str">
            <v>spc-FPP100136</v>
          </cell>
          <cell r="B211" t="str">
            <v>مناديل برايم 100 مناديل 170x190مم 6شد×6ح</v>
          </cell>
          <cell r="C211" t="str">
            <v>VAT</v>
          </cell>
          <cell r="D211" t="str">
            <v>VAT</v>
          </cell>
          <cell r="E211" t="str">
            <v>spc-FPP100136</v>
          </cell>
          <cell r="F211" t="str">
            <v>CA</v>
          </cell>
          <cell r="G211" t="str">
            <v>1.00</v>
          </cell>
          <cell r="H211" t="str">
            <v>37.00</v>
          </cell>
          <cell r="I211" t="str">
            <v>38.85</v>
          </cell>
        </row>
        <row r="212">
          <cell r="A212" t="str">
            <v>spc-FRP201260</v>
          </cell>
          <cell r="B212" t="str">
            <v>مناديل كيس مشوار200 مزدوج  5شد×10+2ح</v>
          </cell>
          <cell r="C212" t="str">
            <v>VAT</v>
          </cell>
          <cell r="D212" t="str">
            <v>VAT</v>
          </cell>
          <cell r="E212" t="str">
            <v>spc-FRP201260</v>
          </cell>
          <cell r="F212" t="str">
            <v>CA</v>
          </cell>
          <cell r="G212" t="str">
            <v>1.00</v>
          </cell>
          <cell r="H212" t="str">
            <v>100.00</v>
          </cell>
          <cell r="I212" t="str">
            <v>101.85</v>
          </cell>
        </row>
        <row r="213">
          <cell r="A213" t="str">
            <v>spc-FVP180112</v>
          </cell>
          <cell r="B213" t="str">
            <v>مناديل جيب مشوار 12شد×18 ح</v>
          </cell>
          <cell r="C213" t="str">
            <v>VAT</v>
          </cell>
          <cell r="D213" t="str">
            <v>VAT</v>
          </cell>
          <cell r="E213" t="str">
            <v>spc-FVP180112</v>
          </cell>
          <cell r="F213" t="str">
            <v>CA</v>
          </cell>
          <cell r="G213" t="str">
            <v>1.00</v>
          </cell>
          <cell r="H213" t="str">
            <v>70.00</v>
          </cell>
          <cell r="I213" t="str">
            <v>71.40</v>
          </cell>
        </row>
        <row r="214">
          <cell r="A214" t="str">
            <v>spc-HXX255121</v>
          </cell>
          <cell r="B214" t="str">
            <v>مفارش سرير طبية .25سم×52سم.1×12</v>
          </cell>
          <cell r="C214" t="str">
            <v>VAT</v>
          </cell>
          <cell r="D214" t="str">
            <v>VAT</v>
          </cell>
          <cell r="E214" t="str">
            <v>spc-HXX255121</v>
          </cell>
          <cell r="F214" t="str">
            <v>CA</v>
          </cell>
          <cell r="G214" t="str">
            <v>1.00</v>
          </cell>
          <cell r="H214" t="str">
            <v>48.00</v>
          </cell>
          <cell r="I214" t="str">
            <v>50.40</v>
          </cell>
        </row>
        <row r="215">
          <cell r="A215" t="str">
            <v>spc-KCT382324</v>
          </cell>
          <cell r="B215" t="str">
            <v>مناديل مطبخ سيتي 23سم 4شد×6ح</v>
          </cell>
          <cell r="C215" t="str">
            <v>VAT</v>
          </cell>
          <cell r="D215" t="str">
            <v>VAT</v>
          </cell>
          <cell r="E215" t="str">
            <v>spc-KCT382324</v>
          </cell>
          <cell r="F215" t="str">
            <v>CA</v>
          </cell>
          <cell r="G215" t="str">
            <v>1.00</v>
          </cell>
          <cell r="H215" t="str">
            <v>20.00</v>
          </cell>
          <cell r="I215" t="str">
            <v>19.95</v>
          </cell>
        </row>
        <row r="216">
          <cell r="A216" t="str">
            <v>spc-KEX902816</v>
          </cell>
          <cell r="B216" t="str">
            <v>مناديل مطبخ اكسلانس  28سم 4شد×2 رول</v>
          </cell>
          <cell r="C216" t="str">
            <v>VAT</v>
          </cell>
          <cell r="D216" t="str">
            <v>VAT</v>
          </cell>
          <cell r="E216" t="str">
            <v>spc-KEX902816</v>
          </cell>
          <cell r="F216" t="str">
            <v>CA</v>
          </cell>
          <cell r="G216" t="str">
            <v>1.00</v>
          </cell>
          <cell r="H216" t="str">
            <v>39.00</v>
          </cell>
          <cell r="I216" t="str">
            <v>38.85</v>
          </cell>
        </row>
        <row r="217">
          <cell r="A217" t="str">
            <v>spc-KMO802816</v>
          </cell>
          <cell r="B217" t="str">
            <v>مناديل مطبخ مشوار28سم 8شد × 2حبه</v>
          </cell>
          <cell r="C217" t="str">
            <v>VAT</v>
          </cell>
          <cell r="D217" t="str">
            <v>VAT</v>
          </cell>
          <cell r="E217" t="str">
            <v>spc-KMO802816</v>
          </cell>
          <cell r="F217" t="str">
            <v>CA</v>
          </cell>
          <cell r="G217" t="str">
            <v>1.00</v>
          </cell>
          <cell r="H217" t="str">
            <v>42.00</v>
          </cell>
          <cell r="I217" t="str">
            <v>44.00</v>
          </cell>
        </row>
        <row r="218">
          <cell r="A218" t="str">
            <v>spc-KMR402324</v>
          </cell>
          <cell r="B218" t="str">
            <v>مناديل مطبخ مشوار23سم 4شد×6ح</v>
          </cell>
          <cell r="C218" t="str">
            <v>VAT</v>
          </cell>
          <cell r="D218" t="str">
            <v>VAT</v>
          </cell>
          <cell r="E218" t="str">
            <v>spc-KMR402324</v>
          </cell>
          <cell r="F218" t="str">
            <v>CA</v>
          </cell>
          <cell r="G218" t="str">
            <v>1.00</v>
          </cell>
          <cell r="H218" t="str">
            <v>26.00</v>
          </cell>
          <cell r="I218" t="str">
            <v>25.20</v>
          </cell>
        </row>
        <row r="219">
          <cell r="A219" t="str">
            <v>spc-KMU402824</v>
          </cell>
          <cell r="B219" t="str">
            <v>مناديل مطبخ مشوار28سم 3شد×6+2ح</v>
          </cell>
          <cell r="C219" t="str">
            <v>VAT</v>
          </cell>
          <cell r="D219" t="str">
            <v>VAT</v>
          </cell>
          <cell r="E219" t="str">
            <v>spc-KMU402824</v>
          </cell>
          <cell r="F219" t="str">
            <v>CA</v>
          </cell>
          <cell r="G219" t="str">
            <v>1.00</v>
          </cell>
          <cell r="H219" t="str">
            <v>36.00</v>
          </cell>
          <cell r="I219" t="str">
            <v>35.70</v>
          </cell>
        </row>
        <row r="220">
          <cell r="A220" t="str">
            <v>spc-KMU402836</v>
          </cell>
          <cell r="B220" t="str">
            <v>مناديل مطبخ مشوار28سم 3شد×9+3ح</v>
          </cell>
          <cell r="C220" t="str">
            <v>VAT</v>
          </cell>
          <cell r="D220" t="str">
            <v>VAT</v>
          </cell>
          <cell r="E220" t="str">
            <v>spc-KMU402836</v>
          </cell>
          <cell r="F220" t="str">
            <v>CA</v>
          </cell>
          <cell r="G220" t="str">
            <v>1.00</v>
          </cell>
          <cell r="H220" t="str">
            <v>42.00</v>
          </cell>
          <cell r="I220" t="str">
            <v>39.90</v>
          </cell>
        </row>
        <row r="221">
          <cell r="A221" t="str">
            <v>spc-MCG300006</v>
          </cell>
          <cell r="B221" t="str">
            <v>م رول سيتي اخضر ثلاثمائة  متر 6رول</v>
          </cell>
          <cell r="C221" t="str">
            <v>VAT</v>
          </cell>
          <cell r="D221" t="str">
            <v>VAT</v>
          </cell>
          <cell r="E221" t="str">
            <v>spc-MCG300006</v>
          </cell>
          <cell r="F221" t="str">
            <v>CA</v>
          </cell>
          <cell r="G221" t="str">
            <v>1.00</v>
          </cell>
          <cell r="H221" t="str">
            <v>59.00</v>
          </cell>
          <cell r="I221" t="str">
            <v>57.75</v>
          </cell>
        </row>
        <row r="222">
          <cell r="A222" t="str">
            <v>spc-MCR300006</v>
          </cell>
          <cell r="B222" t="str">
            <v>م رول سيتي احمر ثلاثمائة متر 6رول</v>
          </cell>
          <cell r="C222" t="str">
            <v>VAT</v>
          </cell>
          <cell r="D222" t="str">
            <v>VAT</v>
          </cell>
          <cell r="E222" t="str">
            <v>spc-MCR300006</v>
          </cell>
          <cell r="F222" t="str">
            <v>CA</v>
          </cell>
          <cell r="G222" t="str">
            <v>1.00</v>
          </cell>
          <cell r="H222" t="str">
            <v>59.00</v>
          </cell>
          <cell r="I222" t="str">
            <v>57.75</v>
          </cell>
        </row>
        <row r="223">
          <cell r="A223" t="str">
            <v>spc-MCT350006</v>
          </cell>
          <cell r="B223" t="str">
            <v>م رول سيتي ذهبي 350 متر 6رول</v>
          </cell>
          <cell r="C223" t="str">
            <v>VAT</v>
          </cell>
          <cell r="D223" t="str">
            <v>VAT</v>
          </cell>
          <cell r="E223" t="str">
            <v>spc-MCT350006</v>
          </cell>
          <cell r="F223" t="str">
            <v>CA</v>
          </cell>
          <cell r="G223" t="str">
            <v>1.00</v>
          </cell>
          <cell r="H223" t="str">
            <v>65.00</v>
          </cell>
          <cell r="I223" t="str">
            <v>64.05</v>
          </cell>
        </row>
        <row r="224">
          <cell r="A224" t="str">
            <v>spc-MCT750012</v>
          </cell>
          <cell r="B224" t="str">
            <v>م رول سيتي سبعمائة وخمسون شيت مفرد 1شد×12ح</v>
          </cell>
          <cell r="C224" t="str">
            <v>VAT</v>
          </cell>
          <cell r="D224" t="str">
            <v>VAT</v>
          </cell>
          <cell r="E224" t="str">
            <v>spc-MCT750012</v>
          </cell>
          <cell r="F224" t="str">
            <v>CA</v>
          </cell>
          <cell r="G224" t="str">
            <v>1.00</v>
          </cell>
          <cell r="H224" t="str">
            <v>56.00</v>
          </cell>
          <cell r="I224" t="str">
            <v>56.70</v>
          </cell>
        </row>
        <row r="225">
          <cell r="A225" t="str">
            <v>spc-MEY150006</v>
          </cell>
          <cell r="B225" t="str">
            <v>م رول مشوار اقتصادي 150 متر 3شد×2ح</v>
          </cell>
          <cell r="C225" t="str">
            <v>VAT</v>
          </cell>
          <cell r="D225" t="str">
            <v>VAT</v>
          </cell>
          <cell r="E225" t="str">
            <v>spc-MEY150006</v>
          </cell>
          <cell r="F225" t="str">
            <v>CA</v>
          </cell>
          <cell r="G225" t="str">
            <v>1.00</v>
          </cell>
          <cell r="H225" t="str">
            <v>39.00</v>
          </cell>
          <cell r="I225" t="str">
            <v>36.75</v>
          </cell>
        </row>
        <row r="226">
          <cell r="A226" t="str">
            <v>spc-MMN300006</v>
          </cell>
          <cell r="B226" t="str">
            <v>م رول مشوار احمر ثلاثمائة متر 6رول</v>
          </cell>
          <cell r="C226" t="str">
            <v>VAT</v>
          </cell>
          <cell r="D226" t="str">
            <v>VAT</v>
          </cell>
          <cell r="E226" t="str">
            <v>spc-MMN300006</v>
          </cell>
          <cell r="F226" t="str">
            <v>CA</v>
          </cell>
          <cell r="G226" t="str">
            <v>1.00</v>
          </cell>
          <cell r="H226" t="str">
            <v>60.00</v>
          </cell>
          <cell r="I226" t="str">
            <v>58.80</v>
          </cell>
        </row>
        <row r="227">
          <cell r="A227" t="str">
            <v>spc-MMO300006</v>
          </cell>
          <cell r="B227" t="str">
            <v>م رول مشوار اخضر ثلاثمائة متر 6رول</v>
          </cell>
          <cell r="C227" t="str">
            <v>VAT</v>
          </cell>
          <cell r="D227" t="str">
            <v>VAT</v>
          </cell>
          <cell r="E227" t="str">
            <v>spc-MMO300006</v>
          </cell>
          <cell r="F227" t="str">
            <v>CA</v>
          </cell>
          <cell r="G227" t="str">
            <v>1.00</v>
          </cell>
          <cell r="H227" t="str">
            <v>60.00</v>
          </cell>
          <cell r="I227" t="str">
            <v>58.80</v>
          </cell>
        </row>
        <row r="228">
          <cell r="A228" t="str">
            <v>spc-MMO350006</v>
          </cell>
          <cell r="B228" t="str">
            <v>م رول مشوار ازرق350 متر 6رول</v>
          </cell>
          <cell r="C228" t="str">
            <v>VAT</v>
          </cell>
          <cell r="D228" t="str">
            <v>VAT</v>
          </cell>
          <cell r="E228" t="str">
            <v>spc-MMO350006</v>
          </cell>
          <cell r="F228" t="str">
            <v>CA</v>
          </cell>
          <cell r="G228" t="str">
            <v>1.00</v>
          </cell>
          <cell r="H228" t="str">
            <v>66.00</v>
          </cell>
          <cell r="I228" t="str">
            <v>65.10</v>
          </cell>
        </row>
        <row r="229">
          <cell r="A229" t="str">
            <v>spc-TMO100040</v>
          </cell>
          <cell r="B229" t="str">
            <v>مناديل سفره نابكن مشوار 100 منديل 1شد×40ح</v>
          </cell>
          <cell r="C229" t="str">
            <v>VAT</v>
          </cell>
          <cell r="D229" t="str">
            <v>VAT</v>
          </cell>
          <cell r="E229" t="str">
            <v>spc-TMO100040</v>
          </cell>
          <cell r="F229" t="str">
            <v>CA</v>
          </cell>
          <cell r="G229" t="str">
            <v>1.00</v>
          </cell>
          <cell r="H229" t="str">
            <v>56.00</v>
          </cell>
          <cell r="I229" t="str">
            <v>55.65</v>
          </cell>
        </row>
        <row r="230">
          <cell r="A230" t="str">
            <v>spc-XIH150241</v>
          </cell>
          <cell r="B230" t="str">
            <v>انترفولد اخضر 150 منديل مفرد 1شد × 24 حبه</v>
          </cell>
          <cell r="C230" t="str">
            <v>VAT</v>
          </cell>
          <cell r="D230" t="str">
            <v>VAT</v>
          </cell>
          <cell r="E230" t="str">
            <v>spc-XIH150241</v>
          </cell>
          <cell r="F230" t="str">
            <v>CA</v>
          </cell>
          <cell r="G230" t="str">
            <v>1.00</v>
          </cell>
          <cell r="H230" t="str">
            <v>54.00</v>
          </cell>
          <cell r="I230" t="str">
            <v>56.70</v>
          </cell>
        </row>
        <row r="231">
          <cell r="A231" t="str">
            <v>spc-XIN150242</v>
          </cell>
          <cell r="B231" t="str">
            <v>انترفولد ازرق 150 منديل مزدوج 1شد × 24 حبه</v>
          </cell>
          <cell r="C231" t="str">
            <v>VAT</v>
          </cell>
          <cell r="D231" t="str">
            <v>VAT</v>
          </cell>
          <cell r="E231" t="str">
            <v>spc-XIN150242</v>
          </cell>
          <cell r="F231" t="str">
            <v>CA</v>
          </cell>
          <cell r="G231" t="str">
            <v>1.00</v>
          </cell>
          <cell r="H231" t="str">
            <v>59.00</v>
          </cell>
          <cell r="I231" t="str">
            <v>59.85</v>
          </cell>
        </row>
        <row r="232">
          <cell r="A232" t="str">
            <v>STR-FT90S4X10</v>
          </cell>
          <cell r="B232" t="str">
            <v>مناديل كيس نيو ديزين 90 منديل مزدوج 4شد × 10 ح</v>
          </cell>
          <cell r="C232" t="str">
            <v>VAT</v>
          </cell>
          <cell r="D232" t="str">
            <v>VAT</v>
          </cell>
          <cell r="E232" t="str">
            <v>STR-FT90S4X10</v>
          </cell>
          <cell r="F232" t="str">
            <v>CA</v>
          </cell>
          <cell r="G232" t="str">
            <v>1.00</v>
          </cell>
          <cell r="H232" t="str">
            <v>46.00</v>
          </cell>
          <cell r="I232" t="str">
            <v>44.10</v>
          </cell>
        </row>
        <row r="233">
          <cell r="A233" t="str">
            <v>STR-MRDBDO6PC</v>
          </cell>
          <cell r="B233" t="str">
            <v>م رول مطبخ دبدوب 1100 شيت  1شد×6ح</v>
          </cell>
          <cell r="C233" t="str">
            <v>VAT</v>
          </cell>
          <cell r="D233" t="str">
            <v>VAT</v>
          </cell>
          <cell r="E233" t="str">
            <v>STR-MRDBDO6PC</v>
          </cell>
          <cell r="F233" t="str">
            <v>CA</v>
          </cell>
          <cell r="G233" t="str">
            <v>1.00</v>
          </cell>
          <cell r="H233" t="str">
            <v>95.00</v>
          </cell>
          <cell r="I233" t="str">
            <v>94.50</v>
          </cell>
        </row>
        <row r="234">
          <cell r="A234" t="str">
            <v>STR-MRHNN12PC</v>
          </cell>
          <cell r="B234" t="str">
            <v>م رول حنين ثلاثمائة شيت 1شد×12ح</v>
          </cell>
          <cell r="C234" t="str">
            <v>VAT</v>
          </cell>
          <cell r="D234" t="str">
            <v>VAT</v>
          </cell>
          <cell r="E234" t="str">
            <v>STR-MRHNN12PC</v>
          </cell>
          <cell r="F234" t="str">
            <v>CA</v>
          </cell>
          <cell r="G234" t="str">
            <v>1.00</v>
          </cell>
          <cell r="H234" t="str">
            <v>38.00</v>
          </cell>
          <cell r="I234" t="str">
            <v>39.38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.ibb.co/KxGsCS2M/lavist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8"/>
  <sheetViews>
    <sheetView rightToLeft="1" tabSelected="1" zoomScale="80" zoomScaleNormal="80" workbookViewId="0">
      <selection activeCell="I12" sqref="I12"/>
    </sheetView>
  </sheetViews>
  <sheetFormatPr defaultRowHeight="15" x14ac:dyDescent="0.25"/>
  <cols>
    <col min="1" max="1" width="13.5703125" bestFit="1" customWidth="1"/>
    <col min="2" max="2" width="17" style="3" bestFit="1" customWidth="1"/>
    <col min="3" max="3" width="49.140625" style="4" bestFit="1" customWidth="1"/>
    <col min="4" max="4" width="10.5703125" style="4" bestFit="1" customWidth="1"/>
    <col min="5" max="5" width="18.85546875" style="4" bestFit="1" customWidth="1"/>
    <col min="6" max="6" width="15.140625" style="4" bestFit="1" customWidth="1"/>
    <col min="7" max="7" width="12.42578125" style="4" bestFit="1" customWidth="1"/>
    <col min="8" max="8" width="20.7109375" style="4" bestFit="1" customWidth="1"/>
    <col min="9" max="9" width="17" style="4" bestFit="1" customWidth="1"/>
    <col min="10" max="10" width="16.140625" style="4" bestFit="1" customWidth="1"/>
    <col min="11" max="11" width="7.5703125" style="4" bestFit="1" customWidth="1"/>
    <col min="12" max="12" width="79.42578125" customWidth="1"/>
    <col min="13" max="13" width="11.7109375" bestFit="1" customWidth="1"/>
    <col min="14" max="14" width="62.85546875" bestFit="1" customWidth="1"/>
  </cols>
  <sheetData>
    <row r="1" spans="1:14" x14ac:dyDescent="0.25">
      <c r="A1" s="2" t="s">
        <v>454</v>
      </c>
      <c r="B1" s="1" t="s">
        <v>455</v>
      </c>
      <c r="C1" s="2" t="s">
        <v>456</v>
      </c>
      <c r="D1" s="2" t="s">
        <v>457</v>
      </c>
      <c r="E1" s="2" t="s">
        <v>458</v>
      </c>
      <c r="F1" s="2" t="s">
        <v>459</v>
      </c>
      <c r="G1" s="2" t="s">
        <v>460</v>
      </c>
      <c r="H1" s="2" t="s">
        <v>461</v>
      </c>
      <c r="I1" s="2" t="s">
        <v>462</v>
      </c>
      <c r="J1" s="2" t="s">
        <v>463</v>
      </c>
      <c r="K1" s="2" t="s">
        <v>464</v>
      </c>
      <c r="L1" s="2" t="s">
        <v>465</v>
      </c>
      <c r="M1" s="2" t="s">
        <v>466</v>
      </c>
      <c r="N1" s="2" t="s">
        <v>467</v>
      </c>
    </row>
    <row r="2" spans="1:14" x14ac:dyDescent="0.25">
      <c r="A2">
        <v>1784</v>
      </c>
      <c r="B2" s="3" t="s">
        <v>166</v>
      </c>
      <c r="C2" s="4" t="s">
        <v>167</v>
      </c>
      <c r="D2" s="4">
        <v>44</v>
      </c>
      <c r="E2" s="4">
        <v>43</v>
      </c>
      <c r="F2" s="4">
        <v>42</v>
      </c>
      <c r="G2" s="4">
        <v>44</v>
      </c>
      <c r="H2" s="4">
        <v>43</v>
      </c>
      <c r="I2" s="4">
        <v>42</v>
      </c>
      <c r="J2" s="4" t="str">
        <f>VLOOKUP(B2,'[1]قائمة الاسعار'!$A:$I,9,0)</f>
        <v>44.20</v>
      </c>
      <c r="K2" s="4">
        <v>12</v>
      </c>
      <c r="L2" t="s">
        <v>581</v>
      </c>
      <c r="M2">
        <v>49</v>
      </c>
      <c r="N2" t="s">
        <v>582</v>
      </c>
    </row>
    <row r="3" spans="1:14" x14ac:dyDescent="0.25">
      <c r="A3">
        <v>0</v>
      </c>
      <c r="B3" s="3" t="s">
        <v>168</v>
      </c>
      <c r="C3" s="4" t="s">
        <v>169</v>
      </c>
      <c r="D3" s="4">
        <v>37.36</v>
      </c>
      <c r="E3" s="4">
        <v>36.200000000000003</v>
      </c>
      <c r="F3" s="4">
        <v>35.5</v>
      </c>
      <c r="G3" s="4">
        <v>37.36</v>
      </c>
      <c r="H3" s="4">
        <v>36.200000000000003</v>
      </c>
      <c r="I3" s="4">
        <v>35.5</v>
      </c>
      <c r="J3" s="4" t="str">
        <f>VLOOKUP(B3,'[1]قائمة الاسعار'!$A:$I,9,0)</f>
        <v>37.36</v>
      </c>
      <c r="K3" s="4">
        <v>5</v>
      </c>
      <c r="L3" t="s">
        <v>583</v>
      </c>
      <c r="M3">
        <v>49</v>
      </c>
      <c r="N3" t="s">
        <v>584</v>
      </c>
    </row>
    <row r="4" spans="1:14" x14ac:dyDescent="0.25">
      <c r="A4">
        <v>8963</v>
      </c>
      <c r="B4" s="3" t="s">
        <v>170</v>
      </c>
      <c r="C4" s="4" t="s">
        <v>171</v>
      </c>
      <c r="D4" s="4">
        <v>44</v>
      </c>
      <c r="E4" s="4">
        <v>43</v>
      </c>
      <c r="F4" s="4">
        <v>42</v>
      </c>
      <c r="G4" s="4">
        <v>44</v>
      </c>
      <c r="H4" s="4">
        <v>43</v>
      </c>
      <c r="I4" s="4">
        <v>42</v>
      </c>
      <c r="J4" s="4" t="str">
        <f>VLOOKUP(B4,'[1]قائمة الاسعار'!$A:$I,9,0)</f>
        <v>44.20</v>
      </c>
      <c r="K4" s="4">
        <v>6</v>
      </c>
      <c r="L4" t="s">
        <v>585</v>
      </c>
      <c r="M4">
        <v>49</v>
      </c>
      <c r="N4" t="s">
        <v>586</v>
      </c>
    </row>
    <row r="5" spans="1:14" x14ac:dyDescent="0.25">
      <c r="A5">
        <v>328</v>
      </c>
      <c r="B5" s="3" t="s">
        <v>172</v>
      </c>
      <c r="C5" s="4" t="s">
        <v>173</v>
      </c>
      <c r="D5" s="4">
        <v>23</v>
      </c>
      <c r="E5" s="4">
        <v>22</v>
      </c>
      <c r="F5" s="4">
        <v>20.37</v>
      </c>
      <c r="G5" s="4">
        <v>23</v>
      </c>
      <c r="H5" s="4">
        <v>22</v>
      </c>
      <c r="I5" s="4">
        <v>20.87</v>
      </c>
      <c r="J5" s="4" t="str">
        <f>VLOOKUP(B5,'[1]قائمة الاسعار'!$A:$I,9,0)</f>
        <v>22.62</v>
      </c>
      <c r="K5" s="4">
        <v>6</v>
      </c>
      <c r="L5" t="s">
        <v>587</v>
      </c>
      <c r="M5">
        <v>105</v>
      </c>
      <c r="N5" t="s">
        <v>588</v>
      </c>
    </row>
    <row r="6" spans="1:14" x14ac:dyDescent="0.25">
      <c r="A6">
        <v>948</v>
      </c>
      <c r="B6" s="3" t="s">
        <v>174</v>
      </c>
      <c r="C6" s="4" t="s">
        <v>175</v>
      </c>
      <c r="D6" s="4">
        <v>35.49</v>
      </c>
      <c r="E6" s="4">
        <v>34.479999999999997</v>
      </c>
      <c r="F6" s="4">
        <v>33.479999999999997</v>
      </c>
      <c r="G6" s="4">
        <v>35.49</v>
      </c>
      <c r="H6" s="4">
        <v>34.479999999999997</v>
      </c>
      <c r="I6" s="4">
        <v>33.479999999999997</v>
      </c>
      <c r="J6" s="4" t="str">
        <f>VLOOKUP(B6,'[1]قائمة الاسعار'!$A:$I,9,0)</f>
        <v>35.23</v>
      </c>
      <c r="K6" s="4">
        <v>10</v>
      </c>
      <c r="L6" t="s">
        <v>589</v>
      </c>
      <c r="M6">
        <v>90</v>
      </c>
      <c r="N6" t="s">
        <v>590</v>
      </c>
    </row>
    <row r="7" spans="1:14" x14ac:dyDescent="0.25">
      <c r="A7">
        <v>241</v>
      </c>
      <c r="B7" s="3" t="s">
        <v>176</v>
      </c>
      <c r="C7" s="4" t="s">
        <v>177</v>
      </c>
      <c r="D7" s="4">
        <v>69.680000000000007</v>
      </c>
      <c r="E7" s="4">
        <v>67.709999999999994</v>
      </c>
      <c r="F7" s="4">
        <v>65.73</v>
      </c>
      <c r="G7" s="4">
        <v>69.680000000000007</v>
      </c>
      <c r="H7" s="4">
        <v>67.709999999999994</v>
      </c>
      <c r="I7" s="4">
        <v>65.73</v>
      </c>
      <c r="J7" s="4" t="str">
        <f>VLOOKUP(B7,'[1]قائمة الاسعار'!$A:$I,9,0)</f>
        <v>69.19</v>
      </c>
      <c r="K7" s="4">
        <v>10</v>
      </c>
      <c r="L7" t="s">
        <v>591</v>
      </c>
      <c r="M7">
        <v>42</v>
      </c>
      <c r="N7" t="s">
        <v>592</v>
      </c>
    </row>
    <row r="8" spans="1:14" x14ac:dyDescent="0.25">
      <c r="A8">
        <v>10893</v>
      </c>
      <c r="B8" s="3" t="s">
        <v>178</v>
      </c>
      <c r="C8" s="4" t="s">
        <v>179</v>
      </c>
      <c r="D8" s="4">
        <v>58.28</v>
      </c>
      <c r="E8" s="4">
        <v>56.63</v>
      </c>
      <c r="F8" s="4">
        <v>54.98</v>
      </c>
      <c r="G8" s="4">
        <v>58.28</v>
      </c>
      <c r="H8" s="4">
        <v>56.63</v>
      </c>
      <c r="I8" s="4">
        <v>54.98</v>
      </c>
      <c r="J8" s="4" t="str">
        <f>VLOOKUP(B8,'[1]قائمة الاسعار'!$A:$I,9,0)</f>
        <v>57.87</v>
      </c>
      <c r="K8" s="4">
        <v>5</v>
      </c>
      <c r="L8" t="s">
        <v>593</v>
      </c>
      <c r="M8">
        <v>56</v>
      </c>
      <c r="N8" t="s">
        <v>594</v>
      </c>
    </row>
    <row r="9" spans="1:14" x14ac:dyDescent="0.25">
      <c r="A9">
        <v>2974.17</v>
      </c>
      <c r="B9" s="3" t="s">
        <v>180</v>
      </c>
      <c r="C9" s="4" t="s">
        <v>181</v>
      </c>
      <c r="D9" s="4">
        <v>35.49</v>
      </c>
      <c r="E9" s="4">
        <v>34.479999999999997</v>
      </c>
      <c r="F9" s="4">
        <v>33.479999999999997</v>
      </c>
      <c r="G9" s="4">
        <v>35.229999999999997</v>
      </c>
      <c r="H9" s="4">
        <v>34.479999999999997</v>
      </c>
      <c r="I9" s="4">
        <v>33.479999999999997</v>
      </c>
      <c r="J9" s="4" t="str">
        <f>VLOOKUP(B9,'[1]قائمة الاسعار'!$A:$I,9,0)</f>
        <v>35.23</v>
      </c>
      <c r="K9" s="4">
        <v>6</v>
      </c>
      <c r="L9" t="s">
        <v>595</v>
      </c>
      <c r="M9">
        <v>105</v>
      </c>
      <c r="N9" t="s">
        <v>596</v>
      </c>
    </row>
    <row r="10" spans="1:14" x14ac:dyDescent="0.25">
      <c r="A10">
        <v>26340</v>
      </c>
      <c r="B10" s="3" t="s">
        <v>190</v>
      </c>
      <c r="C10" s="4" t="s">
        <v>191</v>
      </c>
      <c r="D10" s="4">
        <v>104.91</v>
      </c>
      <c r="E10" s="4">
        <v>101.94</v>
      </c>
      <c r="F10" s="4">
        <v>98.97</v>
      </c>
      <c r="G10" s="4">
        <v>104.91</v>
      </c>
      <c r="H10" s="4">
        <v>101.94</v>
      </c>
      <c r="I10" s="4">
        <v>98.97</v>
      </c>
      <c r="J10" s="4" t="str">
        <f>VLOOKUP(B10,'[1]قائمة الاسعار'!$A:$I,9,0)</f>
        <v>104.17</v>
      </c>
      <c r="K10" s="4">
        <v>4</v>
      </c>
      <c r="L10" t="s">
        <v>601</v>
      </c>
      <c r="M10">
        <v>49</v>
      </c>
      <c r="N10" t="s">
        <v>602</v>
      </c>
    </row>
    <row r="11" spans="1:14" x14ac:dyDescent="0.25">
      <c r="A11">
        <v>768</v>
      </c>
      <c r="B11" s="3" t="s">
        <v>192</v>
      </c>
      <c r="C11" s="4" t="s">
        <v>193</v>
      </c>
      <c r="D11" s="4">
        <v>33</v>
      </c>
      <c r="E11" s="4">
        <v>32</v>
      </c>
      <c r="F11" s="4">
        <v>31</v>
      </c>
      <c r="G11" s="4">
        <v>33</v>
      </c>
      <c r="H11" s="4">
        <v>32</v>
      </c>
      <c r="I11" s="4">
        <v>31</v>
      </c>
      <c r="J11" s="4" t="str">
        <f>VLOOKUP(B11,'[1]قائمة الاسعار'!$A:$I,9,0)</f>
        <v>33.00</v>
      </c>
      <c r="K11" s="4">
        <v>6</v>
      </c>
      <c r="L11" t="s">
        <v>603</v>
      </c>
      <c r="M11">
        <v>72</v>
      </c>
      <c r="N11" t="s">
        <v>604</v>
      </c>
    </row>
    <row r="12" spans="1:14" x14ac:dyDescent="0.25">
      <c r="A12">
        <v>116</v>
      </c>
      <c r="B12" s="3" t="s">
        <v>194</v>
      </c>
      <c r="C12" s="4" t="s">
        <v>195</v>
      </c>
      <c r="D12" s="4">
        <v>33</v>
      </c>
      <c r="E12" s="4">
        <v>32</v>
      </c>
      <c r="F12" s="4">
        <v>31</v>
      </c>
      <c r="G12" s="4">
        <v>33</v>
      </c>
      <c r="H12" s="4">
        <v>32</v>
      </c>
      <c r="I12" s="4">
        <v>31</v>
      </c>
      <c r="J12" s="4" t="str">
        <f>VLOOKUP(B12,'[1]قائمة الاسعار'!$A:$I,9,0)</f>
        <v>33.00</v>
      </c>
      <c r="K12" s="4">
        <v>9</v>
      </c>
      <c r="L12" t="s">
        <v>605</v>
      </c>
      <c r="M12">
        <v>72</v>
      </c>
      <c r="N12" t="s">
        <v>606</v>
      </c>
    </row>
    <row r="13" spans="1:14" x14ac:dyDescent="0.25">
      <c r="A13">
        <v>264</v>
      </c>
      <c r="B13" s="3" t="s">
        <v>216</v>
      </c>
      <c r="C13" s="4" t="s">
        <v>217</v>
      </c>
      <c r="D13" s="4">
        <v>44</v>
      </c>
      <c r="E13" s="4">
        <v>43</v>
      </c>
      <c r="F13" s="4">
        <v>42</v>
      </c>
      <c r="G13" s="4">
        <v>44</v>
      </c>
      <c r="H13" s="4">
        <v>43</v>
      </c>
      <c r="I13" s="4">
        <v>42</v>
      </c>
      <c r="J13" s="4" t="str">
        <f>VLOOKUP(B13,'[1]قائمة الاسعار'!$A:$I,9,0)</f>
        <v>44.00</v>
      </c>
      <c r="K13" s="4">
        <v>24</v>
      </c>
      <c r="L13" t="s">
        <v>620</v>
      </c>
      <c r="M13">
        <v>96</v>
      </c>
      <c r="N13" t="s">
        <v>621</v>
      </c>
    </row>
    <row r="14" spans="1:14" x14ac:dyDescent="0.25">
      <c r="A14">
        <v>1305</v>
      </c>
      <c r="B14" s="3" t="s">
        <v>146</v>
      </c>
      <c r="C14" s="4" t="s">
        <v>147</v>
      </c>
      <c r="D14" s="4">
        <v>17</v>
      </c>
      <c r="E14" s="4">
        <v>16</v>
      </c>
      <c r="F14" s="4">
        <v>16</v>
      </c>
      <c r="G14" s="4">
        <v>17</v>
      </c>
      <c r="H14" s="4">
        <v>16</v>
      </c>
      <c r="I14" s="4">
        <v>16</v>
      </c>
      <c r="J14" s="4" t="str">
        <f>VLOOKUP(B14,'[1]قائمة الاسعار'!$A:$I,9,0)</f>
        <v>16.84</v>
      </c>
      <c r="K14" s="4">
        <v>4</v>
      </c>
      <c r="L14" t="s">
        <v>566</v>
      </c>
      <c r="M14">
        <v>120</v>
      </c>
      <c r="N14" t="s">
        <v>567</v>
      </c>
    </row>
    <row r="15" spans="1:14" x14ac:dyDescent="0.25">
      <c r="A15">
        <v>1242</v>
      </c>
      <c r="B15" s="3" t="s">
        <v>220</v>
      </c>
      <c r="C15" s="4" t="s">
        <v>221</v>
      </c>
      <c r="D15" s="4">
        <v>17</v>
      </c>
      <c r="E15" s="4">
        <v>16</v>
      </c>
      <c r="F15" s="4">
        <v>16</v>
      </c>
      <c r="G15" s="4">
        <v>17</v>
      </c>
      <c r="H15" s="4">
        <v>16</v>
      </c>
      <c r="I15" s="4">
        <v>16</v>
      </c>
      <c r="J15" s="4" t="str">
        <f>VLOOKUP(B15,'[1]قائمة الاسعار'!$A:$I,9,0)</f>
        <v>16.84</v>
      </c>
      <c r="K15" s="4">
        <v>4</v>
      </c>
      <c r="L15" t="s">
        <v>624</v>
      </c>
      <c r="M15">
        <v>120</v>
      </c>
      <c r="N15" t="s">
        <v>625</v>
      </c>
    </row>
    <row r="16" spans="1:14" x14ac:dyDescent="0.25">
      <c r="A16">
        <v>742</v>
      </c>
      <c r="B16" s="3" t="s">
        <v>222</v>
      </c>
      <c r="C16" s="4" t="s">
        <v>223</v>
      </c>
      <c r="D16" s="4">
        <v>30.17</v>
      </c>
      <c r="E16" s="4">
        <v>29.37</v>
      </c>
      <c r="F16" s="4">
        <v>28.67</v>
      </c>
      <c r="G16" s="4">
        <v>30.17</v>
      </c>
      <c r="H16" s="4">
        <v>29.39</v>
      </c>
      <c r="I16" s="4">
        <v>28.67</v>
      </c>
      <c r="J16" s="4" t="str">
        <f>VLOOKUP(B16,'[1]قائمة الاسعار'!$A:$I,9,0)</f>
        <v>30.17</v>
      </c>
      <c r="K16" s="4">
        <v>6</v>
      </c>
      <c r="L16" t="s">
        <v>626</v>
      </c>
      <c r="M16">
        <v>120</v>
      </c>
      <c r="N16" t="s">
        <v>627</v>
      </c>
    </row>
    <row r="17" spans="1:14" x14ac:dyDescent="0.25">
      <c r="A17">
        <v>1233</v>
      </c>
      <c r="B17" s="3" t="s">
        <v>224</v>
      </c>
      <c r="C17" s="4" t="s">
        <v>225</v>
      </c>
      <c r="D17" s="4">
        <v>24.15</v>
      </c>
      <c r="E17" s="4">
        <v>23.69</v>
      </c>
      <c r="F17" s="4">
        <v>23</v>
      </c>
      <c r="G17" s="4">
        <v>24.15</v>
      </c>
      <c r="H17" s="4">
        <v>23.69</v>
      </c>
      <c r="I17" s="4">
        <v>23</v>
      </c>
      <c r="J17" s="4" t="str">
        <f>VLOOKUP(B17,'[1]قائمة الاسعار'!$A:$I,9,0)</f>
        <v>24.21</v>
      </c>
      <c r="K17" s="4">
        <v>3</v>
      </c>
      <c r="L17" t="s">
        <v>628</v>
      </c>
      <c r="M17">
        <v>129</v>
      </c>
      <c r="N17" t="s">
        <v>629</v>
      </c>
    </row>
    <row r="18" spans="1:14" x14ac:dyDescent="0.25">
      <c r="A18">
        <v>888</v>
      </c>
      <c r="B18" s="3" t="s">
        <v>226</v>
      </c>
      <c r="C18" s="4" t="s">
        <v>227</v>
      </c>
      <c r="D18" s="4">
        <v>21</v>
      </c>
      <c r="E18" s="4">
        <v>20</v>
      </c>
      <c r="F18" s="4">
        <v>19</v>
      </c>
      <c r="G18" s="4">
        <v>21</v>
      </c>
      <c r="H18" s="4">
        <v>20</v>
      </c>
      <c r="I18" s="4">
        <v>19</v>
      </c>
      <c r="J18" s="4" t="str">
        <f>VLOOKUP(B18,'[1]قائمة الاسعار'!$A:$I,9,0)</f>
        <v>20.00</v>
      </c>
      <c r="K18" s="4">
        <v>6</v>
      </c>
      <c r="L18" t="s">
        <v>630</v>
      </c>
      <c r="M18">
        <v>126</v>
      </c>
      <c r="N18" t="s">
        <v>631</v>
      </c>
    </row>
    <row r="19" spans="1:14" x14ac:dyDescent="0.25">
      <c r="A19">
        <v>10517</v>
      </c>
      <c r="B19" s="3" t="s">
        <v>228</v>
      </c>
      <c r="C19" s="4" t="s">
        <v>229</v>
      </c>
      <c r="D19" s="4">
        <v>41</v>
      </c>
      <c r="E19" s="4">
        <v>40</v>
      </c>
      <c r="F19" s="4">
        <v>39</v>
      </c>
      <c r="G19" s="4">
        <v>41</v>
      </c>
      <c r="H19" s="4">
        <v>40</v>
      </c>
      <c r="I19" s="4">
        <v>39</v>
      </c>
      <c r="J19" s="4" t="str">
        <f>VLOOKUP(B19,'[1]قائمة الاسعار'!$A:$I,9,0)</f>
        <v>41.00</v>
      </c>
      <c r="K19" s="4">
        <v>6</v>
      </c>
      <c r="L19" t="s">
        <v>632</v>
      </c>
      <c r="M19">
        <v>98</v>
      </c>
      <c r="N19" t="s">
        <v>633</v>
      </c>
    </row>
    <row r="20" spans="1:14" x14ac:dyDescent="0.25">
      <c r="A20">
        <v>3539</v>
      </c>
      <c r="B20" s="3" t="s">
        <v>230</v>
      </c>
      <c r="C20" s="4" t="s">
        <v>231</v>
      </c>
      <c r="D20" s="4">
        <v>25.2</v>
      </c>
      <c r="E20" s="4">
        <v>24</v>
      </c>
      <c r="F20" s="4">
        <v>24</v>
      </c>
      <c r="G20" s="4">
        <v>25.2</v>
      </c>
      <c r="H20" s="4">
        <v>24</v>
      </c>
      <c r="I20" s="4">
        <v>24</v>
      </c>
      <c r="J20" s="4" t="str">
        <f>VLOOKUP(B20,'[1]قائمة الاسعار'!$A:$I,9,0)</f>
        <v>25.26</v>
      </c>
      <c r="K20" s="4">
        <v>6</v>
      </c>
      <c r="L20" t="s">
        <v>634</v>
      </c>
      <c r="M20">
        <v>126</v>
      </c>
      <c r="N20" t="s">
        <v>635</v>
      </c>
    </row>
    <row r="21" spans="1:14" x14ac:dyDescent="0.25">
      <c r="A21">
        <v>129</v>
      </c>
      <c r="B21" s="3" t="s">
        <v>232</v>
      </c>
      <c r="C21" s="4" t="s">
        <v>233</v>
      </c>
      <c r="D21" s="4">
        <v>46.2</v>
      </c>
      <c r="E21" s="4">
        <v>45.32</v>
      </c>
      <c r="F21" s="4">
        <v>44</v>
      </c>
      <c r="G21" s="4">
        <v>46.2</v>
      </c>
      <c r="H21" s="4">
        <v>45.32</v>
      </c>
      <c r="I21" s="4">
        <v>44</v>
      </c>
      <c r="J21" s="4" t="str">
        <f>VLOOKUP(B21,'[1]قائمة الاسعار'!$A:$I,9,0)</f>
        <v>46.31</v>
      </c>
      <c r="K21" s="4">
        <v>6</v>
      </c>
      <c r="L21" t="s">
        <v>632</v>
      </c>
      <c r="M21">
        <v>126</v>
      </c>
      <c r="N21" t="s">
        <v>636</v>
      </c>
    </row>
    <row r="22" spans="1:14" x14ac:dyDescent="0.25">
      <c r="A22">
        <v>5793</v>
      </c>
      <c r="B22" s="3" t="s">
        <v>218</v>
      </c>
      <c r="C22" s="4" t="s">
        <v>219</v>
      </c>
      <c r="D22" s="4">
        <v>89.47</v>
      </c>
      <c r="E22" s="4">
        <v>87.77</v>
      </c>
      <c r="F22" s="4">
        <v>85</v>
      </c>
      <c r="G22" s="4">
        <v>91.8</v>
      </c>
      <c r="H22" s="4">
        <v>89.37</v>
      </c>
      <c r="I22" s="4">
        <v>87.23</v>
      </c>
      <c r="J22" s="4" t="str">
        <f>VLOOKUP(B22,'[1]قائمة الاسعار'!$A:$I,9,0)</f>
        <v>91.80</v>
      </c>
      <c r="K22" s="4">
        <v>5</v>
      </c>
      <c r="L22" t="s">
        <v>622</v>
      </c>
      <c r="M22">
        <v>30</v>
      </c>
      <c r="N22" t="s">
        <v>623</v>
      </c>
    </row>
    <row r="23" spans="1:14" s="6" customFormat="1" x14ac:dyDescent="0.25">
      <c r="A23" s="6">
        <v>178</v>
      </c>
      <c r="B23" s="7" t="s">
        <v>110</v>
      </c>
      <c r="C23" s="8" t="s">
        <v>111</v>
      </c>
      <c r="D23" s="9">
        <v>85.56</v>
      </c>
      <c r="E23" s="9">
        <v>83.3</v>
      </c>
      <c r="F23" s="9">
        <v>81.3</v>
      </c>
      <c r="G23" s="9">
        <v>85.56</v>
      </c>
      <c r="H23" s="9">
        <v>83.3</v>
      </c>
      <c r="I23" s="9">
        <v>81.3</v>
      </c>
      <c r="J23" s="9">
        <v>85.56</v>
      </c>
      <c r="K23" s="9">
        <v>24</v>
      </c>
      <c r="L23" s="6" t="s">
        <v>541</v>
      </c>
      <c r="M23" s="6">
        <v>100</v>
      </c>
      <c r="N23" s="6" t="s">
        <v>542</v>
      </c>
    </row>
    <row r="24" spans="1:14" x14ac:dyDescent="0.25">
      <c r="A24">
        <v>282</v>
      </c>
      <c r="B24" s="3" t="s">
        <v>112</v>
      </c>
      <c r="C24" s="4" t="s">
        <v>113</v>
      </c>
      <c r="D24" s="4">
        <v>113.53</v>
      </c>
      <c r="E24" s="4">
        <v>110.52</v>
      </c>
      <c r="F24" s="4">
        <v>107.87</v>
      </c>
      <c r="G24" s="4">
        <v>113.53</v>
      </c>
      <c r="H24" s="4">
        <v>110.52</v>
      </c>
      <c r="I24" s="4">
        <v>107.87</v>
      </c>
      <c r="J24" s="4" t="str">
        <f>VLOOKUP(B24,'[1]قائمة الاسعار'!$A:$I,9,0)</f>
        <v>113.53</v>
      </c>
      <c r="K24" s="4">
        <v>6</v>
      </c>
      <c r="L24" t="s">
        <v>543</v>
      </c>
      <c r="M24">
        <v>120</v>
      </c>
      <c r="N24" t="s">
        <v>544</v>
      </c>
    </row>
    <row r="25" spans="1:14" x14ac:dyDescent="0.25">
      <c r="A25">
        <v>225</v>
      </c>
      <c r="B25" s="3" t="s">
        <v>114</v>
      </c>
      <c r="C25" s="4" t="s">
        <v>115</v>
      </c>
      <c r="D25" s="4">
        <v>162.26</v>
      </c>
      <c r="E25" s="4">
        <v>157.96</v>
      </c>
      <c r="F25" s="4">
        <v>154.16</v>
      </c>
      <c r="G25" s="4">
        <v>162.26</v>
      </c>
      <c r="H25" s="4">
        <v>157.96</v>
      </c>
      <c r="I25" s="4">
        <v>154.16</v>
      </c>
      <c r="J25" s="4" t="str">
        <f>VLOOKUP(B25,'[1]قائمة الاسعار'!$A:$I,9,0)</f>
        <v>162.26</v>
      </c>
      <c r="K25" s="4">
        <v>6</v>
      </c>
      <c r="L25" t="s">
        <v>545</v>
      </c>
      <c r="M25">
        <v>100</v>
      </c>
      <c r="N25" t="s">
        <v>546</v>
      </c>
    </row>
    <row r="26" spans="1:14" x14ac:dyDescent="0.25">
      <c r="A26">
        <v>146.69999999999999</v>
      </c>
      <c r="B26" s="3" t="s">
        <v>116</v>
      </c>
      <c r="C26" s="4" t="s">
        <v>117</v>
      </c>
      <c r="D26" s="4">
        <v>191.09</v>
      </c>
      <c r="E26" s="4">
        <v>186.02</v>
      </c>
      <c r="F26" s="4">
        <v>181.56</v>
      </c>
      <c r="G26" s="4">
        <v>191.09</v>
      </c>
      <c r="H26" s="4">
        <v>186.02</v>
      </c>
      <c r="I26" s="4">
        <v>181.56</v>
      </c>
      <c r="J26" s="4" t="str">
        <f>VLOOKUP(B26,'[1]قائمة الاسعار'!$A:$I,9,0)</f>
        <v>191.09</v>
      </c>
      <c r="K26" s="4">
        <v>24</v>
      </c>
      <c r="L26" t="s">
        <v>547</v>
      </c>
      <c r="M26">
        <v>120</v>
      </c>
      <c r="N26" t="s">
        <v>548</v>
      </c>
    </row>
    <row r="27" spans="1:14" s="6" customFormat="1" x14ac:dyDescent="0.25">
      <c r="A27" s="6">
        <v>258</v>
      </c>
      <c r="B27" s="7" t="s">
        <v>118</v>
      </c>
      <c r="C27" s="8" t="s">
        <v>119</v>
      </c>
      <c r="D27">
        <v>111.24</v>
      </c>
      <c r="E27">
        <v>108.3</v>
      </c>
      <c r="F27">
        <v>105.7</v>
      </c>
      <c r="G27">
        <v>111.24</v>
      </c>
      <c r="H27">
        <v>108.3</v>
      </c>
      <c r="I27">
        <v>105.7</v>
      </c>
      <c r="J27">
        <v>111.24</v>
      </c>
      <c r="K27">
        <v>24</v>
      </c>
      <c r="L27" s="6" t="s">
        <v>549</v>
      </c>
      <c r="M27" s="6">
        <v>100</v>
      </c>
      <c r="N27" s="6" t="s">
        <v>550</v>
      </c>
    </row>
    <row r="28" spans="1:14" x14ac:dyDescent="0.25">
      <c r="A28">
        <v>133</v>
      </c>
      <c r="B28" s="3" t="s">
        <v>148</v>
      </c>
      <c r="C28" s="4" t="s">
        <v>149</v>
      </c>
      <c r="D28" s="4">
        <v>55.79</v>
      </c>
      <c r="E28" s="4">
        <v>54.31</v>
      </c>
      <c r="F28" s="4">
        <v>53.01</v>
      </c>
      <c r="G28" s="4">
        <v>55.79</v>
      </c>
      <c r="H28" s="4">
        <v>54.31</v>
      </c>
      <c r="I28" s="4">
        <v>53.01</v>
      </c>
      <c r="J28" s="4" t="str">
        <f>VLOOKUP(B28,'[1]قائمة الاسعار'!$A:$I,9,0)</f>
        <v>55.79</v>
      </c>
      <c r="K28" s="4">
        <v>24</v>
      </c>
      <c r="L28" t="s">
        <v>568</v>
      </c>
      <c r="M28">
        <v>120</v>
      </c>
      <c r="N28" t="s">
        <v>569</v>
      </c>
    </row>
    <row r="29" spans="1:14" x14ac:dyDescent="0.25">
      <c r="A29">
        <v>137</v>
      </c>
      <c r="B29" s="3" t="s">
        <v>150</v>
      </c>
      <c r="C29" s="4" t="s">
        <v>151</v>
      </c>
      <c r="D29" s="4">
        <v>66.31</v>
      </c>
      <c r="E29" s="4">
        <v>64.55</v>
      </c>
      <c r="F29" s="4">
        <v>63</v>
      </c>
      <c r="G29" s="4">
        <v>66.31</v>
      </c>
      <c r="H29" s="4">
        <v>64.55</v>
      </c>
      <c r="I29" s="4">
        <v>63</v>
      </c>
      <c r="J29" s="4" t="str">
        <f>VLOOKUP(B29,'[1]قائمة الاسعار'!$A:$I,9,0)</f>
        <v>66.31</v>
      </c>
      <c r="K29" s="4">
        <v>24</v>
      </c>
      <c r="L29" t="s">
        <v>570</v>
      </c>
      <c r="M29">
        <v>100</v>
      </c>
      <c r="N29" t="s">
        <v>571</v>
      </c>
    </row>
    <row r="30" spans="1:14" x14ac:dyDescent="0.25">
      <c r="A30">
        <v>571</v>
      </c>
      <c r="B30" s="3" t="s">
        <v>152</v>
      </c>
      <c r="C30" s="4" t="s">
        <v>153</v>
      </c>
      <c r="D30" s="4">
        <v>61.58</v>
      </c>
      <c r="E30" s="4">
        <v>59.94</v>
      </c>
      <c r="F30" s="4">
        <v>58.5</v>
      </c>
      <c r="G30" s="4">
        <v>61.58</v>
      </c>
      <c r="H30" s="4">
        <v>59.94</v>
      </c>
      <c r="I30" s="4">
        <v>58.5</v>
      </c>
      <c r="J30" s="4" t="str">
        <f>VLOOKUP(B30,'[1]قائمة الاسعار'!$A:$I,9,0)</f>
        <v>61.58</v>
      </c>
      <c r="K30" s="4">
        <v>6</v>
      </c>
      <c r="L30" t="s">
        <v>572</v>
      </c>
      <c r="M30">
        <v>120</v>
      </c>
      <c r="N30" t="s">
        <v>573</v>
      </c>
    </row>
    <row r="31" spans="1:14" x14ac:dyDescent="0.25">
      <c r="A31">
        <v>434</v>
      </c>
      <c r="B31" s="3" t="s">
        <v>154</v>
      </c>
      <c r="C31" s="4" t="s">
        <v>155</v>
      </c>
      <c r="D31" s="4">
        <v>79.55</v>
      </c>
      <c r="E31" s="4">
        <v>77.44</v>
      </c>
      <c r="F31" s="4">
        <v>75.58</v>
      </c>
      <c r="G31" s="4">
        <v>79.55</v>
      </c>
      <c r="H31" s="4">
        <v>77.44</v>
      </c>
      <c r="I31" s="4">
        <v>75.58</v>
      </c>
      <c r="J31" s="4" t="str">
        <f>VLOOKUP(B31,'[1]قائمة الاسعار'!$A:$I,9,0)</f>
        <v>79.55</v>
      </c>
      <c r="K31" s="4">
        <v>6</v>
      </c>
      <c r="L31" t="s">
        <v>574</v>
      </c>
      <c r="M31">
        <v>100</v>
      </c>
      <c r="N31" t="s">
        <v>575</v>
      </c>
    </row>
    <row r="32" spans="1:14" x14ac:dyDescent="0.25">
      <c r="A32">
        <v>9</v>
      </c>
      <c r="B32" s="3" t="s">
        <v>120</v>
      </c>
      <c r="C32" s="4" t="s">
        <v>121</v>
      </c>
      <c r="D32" s="4">
        <v>246</v>
      </c>
      <c r="E32" s="4">
        <v>246</v>
      </c>
      <c r="F32" s="4">
        <v>246</v>
      </c>
      <c r="G32" s="4">
        <v>246</v>
      </c>
      <c r="H32" s="4">
        <v>246</v>
      </c>
      <c r="I32" s="4">
        <v>246</v>
      </c>
      <c r="J32" s="4" t="str">
        <f>VLOOKUP(B32,'[1]قائمة الاسعار'!$A:$I,9,0)</f>
        <v>258.91</v>
      </c>
      <c r="K32" s="4">
        <v>6</v>
      </c>
      <c r="L32" t="s">
        <v>551</v>
      </c>
      <c r="M32">
        <v>1</v>
      </c>
      <c r="N32" t="s">
        <v>552</v>
      </c>
    </row>
    <row r="33" spans="1:14" x14ac:dyDescent="0.25">
      <c r="A33">
        <v>18.829999999999998</v>
      </c>
      <c r="B33" s="3" t="s">
        <v>122</v>
      </c>
      <c r="C33" s="4" t="s">
        <v>123</v>
      </c>
      <c r="D33" s="4">
        <v>246</v>
      </c>
      <c r="E33" s="4">
        <v>246</v>
      </c>
      <c r="F33" s="4">
        <v>246</v>
      </c>
      <c r="G33" s="4">
        <v>246</v>
      </c>
      <c r="H33" s="4">
        <v>246</v>
      </c>
      <c r="I33" s="4">
        <v>246</v>
      </c>
      <c r="J33" s="4" t="str">
        <f>VLOOKUP(B33,'[1]قائمة الاسعار'!$A:$I,9,0)</f>
        <v>258.92</v>
      </c>
      <c r="K33" s="4">
        <v>6</v>
      </c>
      <c r="L33" t="s">
        <v>551</v>
      </c>
      <c r="M33">
        <v>1</v>
      </c>
      <c r="N33" t="s">
        <v>553</v>
      </c>
    </row>
    <row r="34" spans="1:14" x14ac:dyDescent="0.25">
      <c r="A34">
        <v>66.5</v>
      </c>
      <c r="B34" s="3" t="s">
        <v>124</v>
      </c>
      <c r="C34" s="4" t="s">
        <v>125</v>
      </c>
      <c r="D34" s="4">
        <v>246</v>
      </c>
      <c r="E34" s="4">
        <v>246</v>
      </c>
      <c r="F34" s="4">
        <v>246</v>
      </c>
      <c r="G34" s="4">
        <v>246</v>
      </c>
      <c r="H34" s="4">
        <v>246</v>
      </c>
      <c r="I34" s="4">
        <v>246</v>
      </c>
      <c r="J34" s="4" t="str">
        <f>VLOOKUP(B34,'[1]قائمة الاسعار'!$A:$I,9,0)</f>
        <v>258.92</v>
      </c>
      <c r="K34" s="4">
        <v>6</v>
      </c>
      <c r="L34" t="s">
        <v>551</v>
      </c>
      <c r="M34">
        <v>1</v>
      </c>
      <c r="N34" t="s">
        <v>554</v>
      </c>
    </row>
    <row r="35" spans="1:14" x14ac:dyDescent="0.25">
      <c r="A35">
        <v>11.66</v>
      </c>
      <c r="B35" s="3" t="s">
        <v>126</v>
      </c>
      <c r="C35" s="4" t="s">
        <v>127</v>
      </c>
      <c r="D35" s="4">
        <v>246</v>
      </c>
      <c r="E35" s="4">
        <v>246</v>
      </c>
      <c r="F35" s="4">
        <v>246</v>
      </c>
      <c r="G35" s="4">
        <v>246</v>
      </c>
      <c r="H35" s="4">
        <v>246</v>
      </c>
      <c r="I35" s="4">
        <v>246</v>
      </c>
      <c r="J35" s="4" t="str">
        <f>VLOOKUP(B35,'[1]قائمة الاسعار'!$A:$I,9,0)</f>
        <v>258.92</v>
      </c>
      <c r="K35" s="4">
        <v>6</v>
      </c>
      <c r="L35" t="s">
        <v>551</v>
      </c>
      <c r="M35">
        <v>1</v>
      </c>
      <c r="N35" t="s">
        <v>555</v>
      </c>
    </row>
    <row r="36" spans="1:14" x14ac:dyDescent="0.25">
      <c r="A36">
        <v>242</v>
      </c>
      <c r="B36" s="3" t="s">
        <v>272</v>
      </c>
      <c r="C36" s="4" t="s">
        <v>273</v>
      </c>
      <c r="D36" s="4">
        <v>126.5</v>
      </c>
      <c r="E36" s="4">
        <v>126.5</v>
      </c>
      <c r="F36" s="4">
        <v>126.5</v>
      </c>
      <c r="G36" s="4">
        <v>126.5</v>
      </c>
      <c r="H36" s="4">
        <v>126.5</v>
      </c>
      <c r="I36" s="4">
        <v>126.5</v>
      </c>
      <c r="J36" s="4" t="str">
        <f>VLOOKUP(B36,'[1]قائمة الاسعار'!$A:$I,9,0)</f>
        <v>133.14</v>
      </c>
      <c r="K36" s="4">
        <v>12</v>
      </c>
      <c r="L36" t="s">
        <v>668</v>
      </c>
      <c r="M36">
        <v>1</v>
      </c>
      <c r="N36" t="s">
        <v>669</v>
      </c>
    </row>
    <row r="37" spans="1:14" x14ac:dyDescent="0.25">
      <c r="A37">
        <v>139</v>
      </c>
      <c r="B37" s="3" t="s">
        <v>128</v>
      </c>
      <c r="C37" s="4" t="s">
        <v>129</v>
      </c>
      <c r="D37" s="4">
        <v>158.62</v>
      </c>
      <c r="E37" s="4">
        <v>158.62</v>
      </c>
      <c r="F37" s="4">
        <v>158.62</v>
      </c>
      <c r="G37" s="4">
        <v>158.62</v>
      </c>
      <c r="H37" s="4">
        <v>158.62</v>
      </c>
      <c r="I37" s="4">
        <v>158.62</v>
      </c>
      <c r="J37" s="4" t="str">
        <f>VLOOKUP(B37,'[1]قائمة الاسعار'!$A:$I,9,0)</f>
        <v>166.56</v>
      </c>
      <c r="K37" s="4">
        <v>20</v>
      </c>
      <c r="L37" t="s">
        <v>556</v>
      </c>
      <c r="M37">
        <v>1</v>
      </c>
      <c r="N37" t="s">
        <v>557</v>
      </c>
    </row>
    <row r="38" spans="1:14" x14ac:dyDescent="0.25">
      <c r="A38">
        <v>103</v>
      </c>
      <c r="B38" s="3" t="s">
        <v>130</v>
      </c>
      <c r="C38" s="4" t="s">
        <v>131</v>
      </c>
      <c r="D38" s="4">
        <v>158.62</v>
      </c>
      <c r="E38" s="4">
        <v>158.62</v>
      </c>
      <c r="F38" s="4">
        <v>158.62</v>
      </c>
      <c r="G38" s="4">
        <v>158.62</v>
      </c>
      <c r="H38" s="4">
        <v>158.62</v>
      </c>
      <c r="I38" s="4">
        <v>158.62</v>
      </c>
      <c r="J38" s="4" t="str">
        <f>VLOOKUP(B38,'[1]قائمة الاسعار'!$A:$I,9,0)</f>
        <v>166.56</v>
      </c>
      <c r="K38" s="4">
        <v>20</v>
      </c>
      <c r="L38" t="s">
        <v>556</v>
      </c>
      <c r="M38">
        <v>1</v>
      </c>
      <c r="N38" t="s">
        <v>558</v>
      </c>
    </row>
    <row r="39" spans="1:14" x14ac:dyDescent="0.25">
      <c r="A39">
        <v>31</v>
      </c>
      <c r="B39" s="3" t="s">
        <v>132</v>
      </c>
      <c r="C39" s="4" t="s">
        <v>133</v>
      </c>
      <c r="D39" s="4">
        <v>158.62</v>
      </c>
      <c r="E39" s="4">
        <v>158.62</v>
      </c>
      <c r="F39" s="4">
        <v>158.62</v>
      </c>
      <c r="G39" s="4">
        <v>158.62</v>
      </c>
      <c r="H39" s="4">
        <v>158.62</v>
      </c>
      <c r="I39" s="4">
        <v>158.62</v>
      </c>
      <c r="J39" s="4" t="str">
        <f>VLOOKUP(B39,'[1]قائمة الاسعار'!$A:$I,9,0)</f>
        <v>166.56</v>
      </c>
      <c r="K39" s="4">
        <v>20</v>
      </c>
      <c r="L39" t="s">
        <v>556</v>
      </c>
      <c r="M39">
        <v>1</v>
      </c>
      <c r="N39" t="s">
        <v>559</v>
      </c>
    </row>
    <row r="40" spans="1:14" x14ac:dyDescent="0.25">
      <c r="A40">
        <v>54.5</v>
      </c>
      <c r="B40" s="3" t="s">
        <v>134</v>
      </c>
      <c r="C40" s="4" t="s">
        <v>135</v>
      </c>
      <c r="D40" s="4">
        <v>158.62</v>
      </c>
      <c r="E40" s="4">
        <v>158.62</v>
      </c>
      <c r="F40" s="4">
        <v>158.62</v>
      </c>
      <c r="G40" s="4">
        <v>158.62</v>
      </c>
      <c r="H40" s="4">
        <v>158.62</v>
      </c>
      <c r="I40" s="4">
        <v>158.62</v>
      </c>
      <c r="J40" s="4" t="str">
        <f>VLOOKUP(B40,'[1]قائمة الاسعار'!$A:$I,9,0)</f>
        <v>166.56</v>
      </c>
      <c r="K40" s="4">
        <v>20</v>
      </c>
      <c r="L40" t="s">
        <v>556</v>
      </c>
      <c r="M40">
        <v>1</v>
      </c>
      <c r="N40" t="s">
        <v>560</v>
      </c>
    </row>
    <row r="41" spans="1:14" x14ac:dyDescent="0.25">
      <c r="A41">
        <v>163.5</v>
      </c>
      <c r="B41" s="3" t="s">
        <v>136</v>
      </c>
      <c r="C41" s="4" t="s">
        <v>137</v>
      </c>
      <c r="D41" s="4">
        <v>158.62</v>
      </c>
      <c r="E41" s="4">
        <v>158.62</v>
      </c>
      <c r="F41" s="4">
        <v>158.62</v>
      </c>
      <c r="G41" s="4">
        <v>158.62</v>
      </c>
      <c r="H41" s="4">
        <v>158.62</v>
      </c>
      <c r="I41" s="4">
        <v>158.62</v>
      </c>
      <c r="J41" s="4" t="str">
        <f>VLOOKUP(B41,'[1]قائمة الاسعار'!$A:$I,9,0)</f>
        <v>166.56</v>
      </c>
      <c r="K41" s="4">
        <v>20</v>
      </c>
      <c r="L41" t="s">
        <v>556</v>
      </c>
      <c r="M41">
        <v>1</v>
      </c>
      <c r="N41" t="s">
        <v>561</v>
      </c>
    </row>
    <row r="42" spans="1:14" x14ac:dyDescent="0.25">
      <c r="A42">
        <v>119.5</v>
      </c>
      <c r="B42" s="3" t="s">
        <v>138</v>
      </c>
      <c r="C42" s="4" t="s">
        <v>139</v>
      </c>
      <c r="D42" s="4">
        <v>158.62</v>
      </c>
      <c r="E42" s="4">
        <v>158.62</v>
      </c>
      <c r="F42" s="4">
        <v>158.62</v>
      </c>
      <c r="G42" s="4">
        <v>158.62</v>
      </c>
      <c r="H42" s="4">
        <v>158.62</v>
      </c>
      <c r="I42" s="4">
        <v>158.62</v>
      </c>
      <c r="J42" s="4" t="str">
        <f>VLOOKUP(B42,'[1]قائمة الاسعار'!$A:$I,9,0)</f>
        <v>166.56</v>
      </c>
      <c r="K42" s="4">
        <v>20</v>
      </c>
      <c r="L42" t="s">
        <v>556</v>
      </c>
      <c r="M42">
        <v>1</v>
      </c>
      <c r="N42" t="s">
        <v>562</v>
      </c>
    </row>
    <row r="43" spans="1:14" x14ac:dyDescent="0.25">
      <c r="A43">
        <v>6443</v>
      </c>
      <c r="B43" s="3" t="s">
        <v>268</v>
      </c>
      <c r="C43" s="4" t="s">
        <v>269</v>
      </c>
      <c r="D43" s="4">
        <v>15.7</v>
      </c>
      <c r="E43" s="4">
        <v>15.7</v>
      </c>
      <c r="F43" s="4">
        <v>15.7</v>
      </c>
      <c r="G43" s="4">
        <v>16.52</v>
      </c>
      <c r="H43" s="4">
        <v>16</v>
      </c>
      <c r="I43" s="4">
        <v>15.7</v>
      </c>
      <c r="J43" s="4" t="str">
        <f>VLOOKUP(B43,'[1]قائمة الاسعار'!$A:$I,9,0)</f>
        <v>16.52</v>
      </c>
      <c r="K43" s="4">
        <v>20</v>
      </c>
      <c r="L43" t="s">
        <v>665</v>
      </c>
      <c r="M43">
        <v>1</v>
      </c>
      <c r="N43" t="s">
        <v>666</v>
      </c>
    </row>
    <row r="44" spans="1:14" x14ac:dyDescent="0.25">
      <c r="A44">
        <v>877</v>
      </c>
      <c r="B44" s="3" t="s">
        <v>234</v>
      </c>
      <c r="C44" s="4" t="s">
        <v>235</v>
      </c>
      <c r="D44" s="4">
        <v>23</v>
      </c>
      <c r="E44" s="4">
        <v>22</v>
      </c>
      <c r="F44" s="4">
        <v>21</v>
      </c>
      <c r="G44" s="4">
        <v>23</v>
      </c>
      <c r="H44" s="4">
        <v>22</v>
      </c>
      <c r="I44" s="4">
        <v>21</v>
      </c>
      <c r="J44" s="4" t="str">
        <f>VLOOKUP(B44,'[1]قائمة الاسعار'!$A:$I,9,0)</f>
        <v>22.10</v>
      </c>
      <c r="K44" s="4">
        <v>20</v>
      </c>
      <c r="L44" t="s">
        <v>637</v>
      </c>
      <c r="M44">
        <v>1</v>
      </c>
      <c r="N44" t="s">
        <v>638</v>
      </c>
    </row>
    <row r="45" spans="1:14" x14ac:dyDescent="0.25">
      <c r="A45">
        <v>1100</v>
      </c>
      <c r="B45" s="3" t="s">
        <v>238</v>
      </c>
      <c r="C45" s="4" t="s">
        <v>239</v>
      </c>
      <c r="D45" s="4">
        <v>31</v>
      </c>
      <c r="E45" s="4">
        <v>30</v>
      </c>
      <c r="F45" s="4">
        <v>29</v>
      </c>
      <c r="G45" s="4">
        <v>31</v>
      </c>
      <c r="H45" s="4">
        <v>30</v>
      </c>
      <c r="I45" s="4">
        <v>29</v>
      </c>
      <c r="J45" s="4" t="str">
        <f>VLOOKUP(B45,'[1]قائمة الاسعار'!$A:$I,9,0)</f>
        <v>30.50</v>
      </c>
      <c r="K45" s="4">
        <v>20</v>
      </c>
      <c r="L45" t="s">
        <v>640</v>
      </c>
      <c r="M45">
        <v>1</v>
      </c>
      <c r="N45" t="s">
        <v>641</v>
      </c>
    </row>
    <row r="46" spans="1:14" x14ac:dyDescent="0.25">
      <c r="A46">
        <v>1473</v>
      </c>
      <c r="B46" s="3" t="s">
        <v>240</v>
      </c>
      <c r="C46" s="4" t="s">
        <v>241</v>
      </c>
      <c r="D46" s="4">
        <v>36.83</v>
      </c>
      <c r="E46" s="4">
        <v>36</v>
      </c>
      <c r="F46" s="4">
        <v>35</v>
      </c>
      <c r="G46" s="4">
        <v>40</v>
      </c>
      <c r="H46" s="4">
        <v>39</v>
      </c>
      <c r="I46" s="4">
        <v>38</v>
      </c>
      <c r="J46" s="4" t="str">
        <f>VLOOKUP(B46,'[1]قائمة الاسعار'!$A:$I,9,0)</f>
        <v>41.09</v>
      </c>
      <c r="K46" s="4">
        <v>20</v>
      </c>
      <c r="L46" t="s">
        <v>640</v>
      </c>
      <c r="M46">
        <v>1</v>
      </c>
      <c r="N46" t="s">
        <v>642</v>
      </c>
    </row>
    <row r="47" spans="1:14" x14ac:dyDescent="0.25">
      <c r="A47">
        <v>6135</v>
      </c>
      <c r="B47" s="3" t="s">
        <v>242</v>
      </c>
      <c r="C47" s="4" t="s">
        <v>243</v>
      </c>
      <c r="D47" s="4">
        <v>37.89</v>
      </c>
      <c r="E47" s="4">
        <v>37</v>
      </c>
      <c r="F47" s="4">
        <v>36</v>
      </c>
      <c r="G47" s="4">
        <v>36.33</v>
      </c>
      <c r="H47" s="4">
        <v>35.42</v>
      </c>
      <c r="I47" s="4">
        <v>34.520000000000003</v>
      </c>
      <c r="J47" s="4" t="str">
        <f>VLOOKUP(B47,'[1]قائمة الاسعار'!$A:$I,9,0)</f>
        <v>36.33</v>
      </c>
      <c r="K47" s="4">
        <v>20</v>
      </c>
      <c r="L47" t="s">
        <v>640</v>
      </c>
      <c r="M47">
        <v>1</v>
      </c>
      <c r="N47" t="s">
        <v>643</v>
      </c>
    </row>
    <row r="48" spans="1:14" x14ac:dyDescent="0.25">
      <c r="A48">
        <v>3962</v>
      </c>
      <c r="B48" s="3" t="s">
        <v>246</v>
      </c>
      <c r="C48" s="4" t="s">
        <v>247</v>
      </c>
      <c r="D48" s="4">
        <v>27.83</v>
      </c>
      <c r="E48" s="4">
        <v>26.96</v>
      </c>
      <c r="F48" s="4">
        <v>26.09</v>
      </c>
      <c r="G48" s="4">
        <v>27.83</v>
      </c>
      <c r="H48" s="4">
        <v>26.96</v>
      </c>
      <c r="I48" s="4">
        <v>26.09</v>
      </c>
      <c r="J48" s="4" t="str">
        <f>VLOOKUP(B48,'[1]قائمة الاسعار'!$A:$I,9,0)</f>
        <v>27.39</v>
      </c>
      <c r="K48" s="4">
        <v>1</v>
      </c>
      <c r="L48" t="s">
        <v>645</v>
      </c>
      <c r="M48">
        <v>1</v>
      </c>
      <c r="N48" t="s">
        <v>646</v>
      </c>
    </row>
    <row r="49" spans="1:14" x14ac:dyDescent="0.25">
      <c r="A49">
        <v>482</v>
      </c>
      <c r="B49" s="3" t="s">
        <v>250</v>
      </c>
      <c r="C49" s="4" t="s">
        <v>251</v>
      </c>
      <c r="D49" s="4">
        <v>52</v>
      </c>
      <c r="E49" s="4">
        <v>51</v>
      </c>
      <c r="F49" s="4">
        <v>50</v>
      </c>
      <c r="G49" s="4">
        <v>59</v>
      </c>
      <c r="H49" s="4">
        <v>55</v>
      </c>
      <c r="I49" s="4">
        <v>55</v>
      </c>
      <c r="J49" s="4" t="str">
        <f>VLOOKUP(B49,'[1]قائمة الاسعار'!$A:$I,9,0)</f>
        <v>52.50</v>
      </c>
      <c r="K49" s="4">
        <v>6</v>
      </c>
      <c r="L49" t="s">
        <v>649</v>
      </c>
      <c r="M49">
        <v>1</v>
      </c>
      <c r="N49" t="s">
        <v>650</v>
      </c>
    </row>
    <row r="50" spans="1:14" x14ac:dyDescent="0.25">
      <c r="A50">
        <v>592</v>
      </c>
      <c r="B50" s="3" t="s">
        <v>252</v>
      </c>
      <c r="C50" s="4" t="s">
        <v>253</v>
      </c>
      <c r="D50" s="4">
        <v>64</v>
      </c>
      <c r="E50" s="4">
        <v>62</v>
      </c>
      <c r="F50" s="4">
        <v>62</v>
      </c>
      <c r="G50" s="4">
        <v>68</v>
      </c>
      <c r="H50" s="4">
        <v>63</v>
      </c>
      <c r="I50" s="4">
        <v>63</v>
      </c>
      <c r="J50" s="4" t="str">
        <f>VLOOKUP(B50,'[1]قائمة الاسعار'!$A:$I,9,0)</f>
        <v>65.10</v>
      </c>
      <c r="K50" s="4">
        <v>10</v>
      </c>
      <c r="L50" t="s">
        <v>651</v>
      </c>
      <c r="M50">
        <v>1</v>
      </c>
      <c r="N50" t="s">
        <v>652</v>
      </c>
    </row>
    <row r="51" spans="1:14" x14ac:dyDescent="0.25">
      <c r="A51">
        <v>0</v>
      </c>
      <c r="B51" s="3" t="s">
        <v>248</v>
      </c>
      <c r="C51" s="4" t="s">
        <v>249</v>
      </c>
      <c r="D51" s="4">
        <v>28.25</v>
      </c>
      <c r="E51" s="4">
        <v>27.5</v>
      </c>
      <c r="F51" s="4">
        <v>26.84</v>
      </c>
      <c r="G51" s="4">
        <v>28.25</v>
      </c>
      <c r="H51" s="4">
        <v>27.5</v>
      </c>
      <c r="I51" s="4">
        <v>26.84</v>
      </c>
      <c r="J51" s="4" t="str">
        <f>VLOOKUP(B51,'[1]قائمة الاسعار'!$A:$I,9,0)</f>
        <v>28.25</v>
      </c>
      <c r="K51" s="4">
        <v>1</v>
      </c>
      <c r="L51" t="s">
        <v>647</v>
      </c>
      <c r="M51">
        <v>1</v>
      </c>
      <c r="N51" t="s">
        <v>648</v>
      </c>
    </row>
    <row r="52" spans="1:14" x14ac:dyDescent="0.25">
      <c r="A52">
        <v>351</v>
      </c>
      <c r="B52" s="3" t="s">
        <v>258</v>
      </c>
      <c r="C52" s="4" t="s">
        <v>259</v>
      </c>
      <c r="D52" s="4">
        <v>85</v>
      </c>
      <c r="E52" s="4">
        <v>84</v>
      </c>
      <c r="F52" s="4">
        <v>82.8</v>
      </c>
      <c r="G52" s="4">
        <v>91.3</v>
      </c>
      <c r="H52" s="4">
        <v>86.96</v>
      </c>
      <c r="I52" s="4">
        <v>86.96</v>
      </c>
      <c r="J52" s="4" t="str">
        <f>VLOOKUP(B52,'[1]قائمة الاسعار'!$A:$I,9,0)</f>
        <v>86.94</v>
      </c>
      <c r="K52" s="4">
        <v>15</v>
      </c>
      <c r="L52" t="s">
        <v>656</v>
      </c>
      <c r="M52">
        <v>1</v>
      </c>
      <c r="N52" t="s">
        <v>657</v>
      </c>
    </row>
    <row r="53" spans="1:14" x14ac:dyDescent="0.25">
      <c r="A53">
        <v>399</v>
      </c>
      <c r="B53" s="3" t="s">
        <v>262</v>
      </c>
      <c r="C53" s="4" t="s">
        <v>263</v>
      </c>
      <c r="D53" s="4">
        <v>85</v>
      </c>
      <c r="E53" s="4">
        <v>84</v>
      </c>
      <c r="F53" s="4">
        <v>82.8</v>
      </c>
      <c r="G53" s="4">
        <v>91.3</v>
      </c>
      <c r="H53" s="4">
        <v>91.3</v>
      </c>
      <c r="I53" s="4">
        <v>86.96</v>
      </c>
      <c r="J53" s="4" t="str">
        <f>VLOOKUP(B53,'[1]قائمة الاسعار'!$A:$I,9,0)</f>
        <v>86.94</v>
      </c>
      <c r="K53" s="4">
        <v>15</v>
      </c>
      <c r="L53" t="s">
        <v>656</v>
      </c>
      <c r="M53">
        <v>1</v>
      </c>
      <c r="N53" t="s">
        <v>660</v>
      </c>
    </row>
    <row r="54" spans="1:14" x14ac:dyDescent="0.25">
      <c r="A54">
        <v>402</v>
      </c>
      <c r="B54" s="3" t="s">
        <v>196</v>
      </c>
      <c r="C54" s="4" t="s">
        <v>197</v>
      </c>
      <c r="D54" s="4">
        <v>56.52</v>
      </c>
      <c r="E54" s="4">
        <v>55.65</v>
      </c>
      <c r="F54" s="4">
        <v>54.78</v>
      </c>
      <c r="G54" s="4">
        <v>56.52</v>
      </c>
      <c r="H54" s="4">
        <v>55.65</v>
      </c>
      <c r="I54" s="4">
        <v>54.78</v>
      </c>
      <c r="J54" s="4" t="str">
        <f>VLOOKUP(B54,'[1]قائمة الاسعار'!$A:$I,9,0)</f>
        <v>57.52</v>
      </c>
      <c r="K54" s="4">
        <v>10</v>
      </c>
      <c r="L54" t="s">
        <v>607</v>
      </c>
      <c r="M54">
        <v>1</v>
      </c>
      <c r="N54" t="s">
        <v>608</v>
      </c>
    </row>
    <row r="55" spans="1:14" x14ac:dyDescent="0.25">
      <c r="A55">
        <v>17</v>
      </c>
      <c r="B55" s="3" t="s">
        <v>198</v>
      </c>
      <c r="C55" s="4" t="s">
        <v>199</v>
      </c>
      <c r="D55" s="4">
        <v>15.5</v>
      </c>
      <c r="E55" s="4">
        <v>15</v>
      </c>
      <c r="F55" s="4">
        <v>14.5</v>
      </c>
      <c r="G55" s="4">
        <v>15.5</v>
      </c>
      <c r="H55" s="4">
        <v>15</v>
      </c>
      <c r="I55" s="4">
        <v>14.5</v>
      </c>
      <c r="J55" s="4" t="str">
        <f>VLOOKUP(B55,'[1]قائمة الاسعار'!$A:$I,9,0)</f>
        <v>15.50</v>
      </c>
      <c r="K55" s="4">
        <v>0</v>
      </c>
      <c r="L55" t="s">
        <v>610</v>
      </c>
      <c r="M55">
        <v>1</v>
      </c>
      <c r="N55" t="s">
        <v>609</v>
      </c>
    </row>
    <row r="56" spans="1:14" x14ac:dyDescent="0.25">
      <c r="A56">
        <v>765</v>
      </c>
      <c r="B56" s="3" t="s">
        <v>200</v>
      </c>
      <c r="C56" s="4" t="s">
        <v>201</v>
      </c>
      <c r="D56" s="4">
        <v>30.2</v>
      </c>
      <c r="E56" s="4">
        <v>29.56</v>
      </c>
      <c r="F56" s="4">
        <v>28.7</v>
      </c>
      <c r="G56" s="4">
        <v>30.2</v>
      </c>
      <c r="H56" s="4">
        <v>29.56</v>
      </c>
      <c r="I56" s="4">
        <v>28.7</v>
      </c>
      <c r="J56" s="4" t="str">
        <f>VLOOKUP(B56,'[1]قائمة الاسعار'!$A:$I,9,0)</f>
        <v>30.20</v>
      </c>
      <c r="K56" s="4">
        <v>1</v>
      </c>
      <c r="L56" t="s">
        <v>610</v>
      </c>
      <c r="M56">
        <v>1</v>
      </c>
      <c r="N56" t="s">
        <v>611</v>
      </c>
    </row>
    <row r="57" spans="1:14" x14ac:dyDescent="0.25">
      <c r="A57">
        <v>20</v>
      </c>
      <c r="B57" s="3" t="s">
        <v>202</v>
      </c>
      <c r="C57" s="4" t="s">
        <v>203</v>
      </c>
      <c r="D57" s="4">
        <v>15.5</v>
      </c>
      <c r="E57" s="4">
        <v>15</v>
      </c>
      <c r="F57" s="4">
        <v>14.5</v>
      </c>
      <c r="G57" s="4">
        <v>15.5</v>
      </c>
      <c r="H57" s="4">
        <v>15</v>
      </c>
      <c r="I57" s="4">
        <v>14.5</v>
      </c>
      <c r="J57" s="4" t="str">
        <f>VLOOKUP(B57,'[1]قائمة الاسعار'!$A:$I,9,0)</f>
        <v>15.50</v>
      </c>
      <c r="K57" s="4">
        <v>0</v>
      </c>
      <c r="L57" t="s">
        <v>610</v>
      </c>
      <c r="M57">
        <v>1</v>
      </c>
      <c r="N57" t="s">
        <v>612</v>
      </c>
    </row>
    <row r="58" spans="1:14" x14ac:dyDescent="0.25">
      <c r="A58">
        <v>10</v>
      </c>
      <c r="B58" s="3" t="s">
        <v>206</v>
      </c>
      <c r="C58" s="4" t="s">
        <v>207</v>
      </c>
      <c r="D58" s="4">
        <v>15.5</v>
      </c>
      <c r="E58" s="4">
        <v>15</v>
      </c>
      <c r="F58" s="4">
        <v>14.5</v>
      </c>
      <c r="G58" s="4">
        <v>15.5</v>
      </c>
      <c r="H58" s="4">
        <v>15</v>
      </c>
      <c r="I58" s="4">
        <v>14.5</v>
      </c>
      <c r="J58" s="4" t="str">
        <f>VLOOKUP(B58,'[1]قائمة الاسعار'!$A:$I,9,0)</f>
        <v>15.50</v>
      </c>
      <c r="K58" s="4">
        <v>0</v>
      </c>
      <c r="L58" t="s">
        <v>610</v>
      </c>
      <c r="M58">
        <v>1</v>
      </c>
      <c r="N58" t="s">
        <v>614</v>
      </c>
    </row>
    <row r="59" spans="1:14" x14ac:dyDescent="0.25">
      <c r="A59">
        <v>824</v>
      </c>
      <c r="B59" s="3" t="s">
        <v>204</v>
      </c>
      <c r="C59" s="4" t="s">
        <v>205</v>
      </c>
      <c r="D59" s="4">
        <v>30.2</v>
      </c>
      <c r="E59" s="4">
        <v>29.56</v>
      </c>
      <c r="F59" s="4">
        <v>28.7</v>
      </c>
      <c r="G59" s="4">
        <v>30.2</v>
      </c>
      <c r="H59" s="4">
        <v>29.56</v>
      </c>
      <c r="I59" s="4">
        <v>28.7</v>
      </c>
      <c r="J59" s="4" t="str">
        <f>VLOOKUP(B59,'[1]قائمة الاسعار'!$A:$I,9,0)</f>
        <v>30.20</v>
      </c>
      <c r="K59" s="4">
        <v>1</v>
      </c>
      <c r="L59" t="s">
        <v>610</v>
      </c>
      <c r="M59">
        <v>1</v>
      </c>
      <c r="N59" t="s">
        <v>613</v>
      </c>
    </row>
    <row r="60" spans="1:14" x14ac:dyDescent="0.25">
      <c r="A60">
        <v>522</v>
      </c>
      <c r="B60" s="3" t="s">
        <v>208</v>
      </c>
      <c r="C60" s="4" t="s">
        <v>209</v>
      </c>
      <c r="D60" s="4">
        <v>30.2</v>
      </c>
      <c r="E60" s="4">
        <v>29.56</v>
      </c>
      <c r="F60" s="4">
        <v>28.7</v>
      </c>
      <c r="G60" s="4">
        <v>30.2</v>
      </c>
      <c r="H60" s="4">
        <v>29.56</v>
      </c>
      <c r="I60" s="4">
        <v>28.7</v>
      </c>
      <c r="J60" s="4" t="str">
        <f>VLOOKUP(B60,'[1]قائمة الاسعار'!$A:$I,9,0)</f>
        <v>30.20</v>
      </c>
      <c r="K60" s="4">
        <v>1</v>
      </c>
      <c r="L60" t="s">
        <v>610</v>
      </c>
      <c r="M60">
        <v>1</v>
      </c>
      <c r="N60" t="s">
        <v>615</v>
      </c>
    </row>
    <row r="61" spans="1:14" x14ac:dyDescent="0.25">
      <c r="A61">
        <v>2178</v>
      </c>
      <c r="B61" s="3" t="s">
        <v>210</v>
      </c>
      <c r="C61" s="4" t="s">
        <v>211</v>
      </c>
      <c r="D61" s="4">
        <v>30.2</v>
      </c>
      <c r="E61" s="4">
        <v>29.56</v>
      </c>
      <c r="F61" s="4">
        <v>28.7</v>
      </c>
      <c r="G61" s="4">
        <v>30.2</v>
      </c>
      <c r="H61" s="4">
        <v>29.56</v>
      </c>
      <c r="I61" s="4">
        <v>28.7</v>
      </c>
      <c r="J61" s="4" t="str">
        <f>VLOOKUP(B61,'[1]قائمة الاسعار'!$A:$I,9,0)</f>
        <v>30.20</v>
      </c>
      <c r="K61" s="4">
        <v>1</v>
      </c>
      <c r="L61" t="s">
        <v>616</v>
      </c>
      <c r="M61">
        <v>1</v>
      </c>
      <c r="N61" t="s">
        <v>617</v>
      </c>
    </row>
    <row r="62" spans="1:14" x14ac:dyDescent="0.25">
      <c r="A62">
        <v>2650</v>
      </c>
      <c r="B62" s="3" t="s">
        <v>212</v>
      </c>
      <c r="C62" s="4" t="s">
        <v>213</v>
      </c>
      <c r="D62" s="4">
        <v>30.2</v>
      </c>
      <c r="E62" s="4">
        <v>29.56</v>
      </c>
      <c r="F62" s="4">
        <v>28.7</v>
      </c>
      <c r="G62" s="4">
        <v>30.2</v>
      </c>
      <c r="H62" s="4">
        <v>29.56</v>
      </c>
      <c r="I62" s="4">
        <v>28.7</v>
      </c>
      <c r="J62" s="4" t="str">
        <f>VLOOKUP(B62,'[1]قائمة الاسعار'!$A:$I,9,0)</f>
        <v>30.20</v>
      </c>
      <c r="K62" s="4">
        <v>1</v>
      </c>
      <c r="L62" t="s">
        <v>616</v>
      </c>
      <c r="M62">
        <v>1</v>
      </c>
      <c r="N62" t="s">
        <v>618</v>
      </c>
    </row>
    <row r="63" spans="1:14" x14ac:dyDescent="0.25">
      <c r="A63">
        <v>1751</v>
      </c>
      <c r="B63" s="3" t="s">
        <v>214</v>
      </c>
      <c r="C63" s="4" t="s">
        <v>215</v>
      </c>
      <c r="D63" s="4">
        <v>30.2</v>
      </c>
      <c r="E63" s="4">
        <v>29.56</v>
      </c>
      <c r="F63" s="4">
        <v>28.7</v>
      </c>
      <c r="G63" s="4">
        <v>30.2</v>
      </c>
      <c r="H63" s="4">
        <v>29.56</v>
      </c>
      <c r="I63" s="4">
        <v>28.7</v>
      </c>
      <c r="J63" s="4" t="str">
        <f>VLOOKUP(B63,'[1]قائمة الاسعار'!$A:$I,9,0)</f>
        <v>30.20</v>
      </c>
      <c r="K63" s="4">
        <v>1</v>
      </c>
      <c r="L63" t="s">
        <v>616</v>
      </c>
      <c r="M63">
        <v>1</v>
      </c>
      <c r="N63" t="s">
        <v>619</v>
      </c>
    </row>
    <row r="64" spans="1:14" x14ac:dyDescent="0.25">
      <c r="A64">
        <v>52</v>
      </c>
      <c r="B64" s="3" t="s">
        <v>254</v>
      </c>
      <c r="C64" s="4" t="s">
        <v>255</v>
      </c>
      <c r="D64" s="4">
        <v>96</v>
      </c>
      <c r="E64" s="4">
        <v>95</v>
      </c>
      <c r="F64" s="4">
        <v>93.6</v>
      </c>
      <c r="G64" s="4">
        <v>100</v>
      </c>
      <c r="H64" s="4">
        <v>95.65</v>
      </c>
      <c r="I64" s="4">
        <v>95.65</v>
      </c>
      <c r="J64" s="4" t="str">
        <f>VLOOKUP(B64,'[1]قائمة الاسعار'!$A:$I,9,0)</f>
        <v>98.28</v>
      </c>
      <c r="K64" s="4">
        <v>10</v>
      </c>
      <c r="L64" t="s">
        <v>653</v>
      </c>
      <c r="M64">
        <v>1</v>
      </c>
      <c r="N64" t="s">
        <v>654</v>
      </c>
    </row>
    <row r="65" spans="1:14" x14ac:dyDescent="0.25">
      <c r="A65">
        <v>115</v>
      </c>
      <c r="B65" s="3" t="s">
        <v>256</v>
      </c>
      <c r="C65" s="4" t="s">
        <v>257</v>
      </c>
      <c r="D65" s="4">
        <v>96</v>
      </c>
      <c r="E65" s="4">
        <v>95</v>
      </c>
      <c r="F65" s="4">
        <v>93.6</v>
      </c>
      <c r="G65" s="4">
        <v>100</v>
      </c>
      <c r="H65" s="4">
        <v>95.65</v>
      </c>
      <c r="I65" s="4">
        <v>95.65</v>
      </c>
      <c r="J65" s="4" t="str">
        <f>VLOOKUP(B65,'[1]قائمة الاسعار'!$A:$I,9,0)</f>
        <v>98.28</v>
      </c>
      <c r="K65" s="4">
        <v>10</v>
      </c>
      <c r="L65" t="s">
        <v>653</v>
      </c>
      <c r="M65">
        <v>1</v>
      </c>
      <c r="N65" t="s">
        <v>655</v>
      </c>
    </row>
    <row r="66" spans="1:14" x14ac:dyDescent="0.25">
      <c r="A66">
        <v>319</v>
      </c>
      <c r="B66" s="3" t="s">
        <v>260</v>
      </c>
      <c r="C66" s="4" t="s">
        <v>261</v>
      </c>
      <c r="D66" s="4">
        <v>96</v>
      </c>
      <c r="E66" s="4">
        <v>95</v>
      </c>
      <c r="F66" s="4">
        <v>93.6</v>
      </c>
      <c r="G66" s="4">
        <v>100</v>
      </c>
      <c r="H66" s="4">
        <v>95.65</v>
      </c>
      <c r="I66" s="4">
        <v>95.65</v>
      </c>
      <c r="J66" s="4" t="str">
        <f>VLOOKUP(B66,'[1]قائمة الاسعار'!$A:$I,9,0)</f>
        <v>98.28</v>
      </c>
      <c r="K66" s="4">
        <v>10</v>
      </c>
      <c r="L66" t="s">
        <v>658</v>
      </c>
      <c r="M66">
        <v>1</v>
      </c>
      <c r="N66" t="s">
        <v>659</v>
      </c>
    </row>
    <row r="67" spans="1:14" x14ac:dyDescent="0.25">
      <c r="A67">
        <v>489</v>
      </c>
      <c r="B67" s="3" t="s">
        <v>264</v>
      </c>
      <c r="C67" s="4" t="s">
        <v>265</v>
      </c>
      <c r="D67" s="4">
        <v>80</v>
      </c>
      <c r="E67" s="4">
        <v>79</v>
      </c>
      <c r="F67" s="4">
        <v>78</v>
      </c>
      <c r="G67" s="4">
        <v>86.96</v>
      </c>
      <c r="H67" s="4">
        <v>82.61</v>
      </c>
      <c r="I67" s="4">
        <v>82.61</v>
      </c>
      <c r="J67" s="4" t="str">
        <f>VLOOKUP(B67,'[1]قائمة الاسعار'!$A:$I,9,0)</f>
        <v>81.90</v>
      </c>
      <c r="K67" s="4">
        <v>15</v>
      </c>
      <c r="L67" t="s">
        <v>661</v>
      </c>
      <c r="M67">
        <v>1</v>
      </c>
      <c r="N67" t="s">
        <v>662</v>
      </c>
    </row>
    <row r="68" spans="1:14" x14ac:dyDescent="0.25">
      <c r="A68">
        <v>562</v>
      </c>
      <c r="B68" s="3" t="s">
        <v>266</v>
      </c>
      <c r="C68" s="4" t="s">
        <v>267</v>
      </c>
      <c r="D68" s="4">
        <v>80</v>
      </c>
      <c r="E68" s="4">
        <v>79</v>
      </c>
      <c r="F68" s="4">
        <v>78</v>
      </c>
      <c r="G68" s="4">
        <v>86.96</v>
      </c>
      <c r="H68" s="4">
        <v>82.61</v>
      </c>
      <c r="I68" s="4">
        <v>82.61</v>
      </c>
      <c r="J68" s="4" t="str">
        <f>VLOOKUP(B68,'[1]قائمة الاسعار'!$A:$I,9,0)</f>
        <v>81.90</v>
      </c>
      <c r="K68" s="4">
        <v>15</v>
      </c>
      <c r="L68" t="s">
        <v>663</v>
      </c>
      <c r="M68">
        <v>1</v>
      </c>
      <c r="N68" t="s">
        <v>664</v>
      </c>
    </row>
    <row r="69" spans="1:14" x14ac:dyDescent="0.25">
      <c r="A69">
        <v>0</v>
      </c>
      <c r="B69" s="3" t="s">
        <v>18</v>
      </c>
      <c r="C69" s="4" t="s">
        <v>19</v>
      </c>
      <c r="D69" s="4">
        <v>62.91</v>
      </c>
      <c r="E69" s="4">
        <v>61.25</v>
      </c>
      <c r="F69" s="4">
        <v>59.78</v>
      </c>
      <c r="G69" s="4">
        <v>62.91</v>
      </c>
      <c r="H69" s="4">
        <v>61.25</v>
      </c>
      <c r="I69" s="4">
        <v>59.78</v>
      </c>
      <c r="J69" s="4" t="str">
        <f>VLOOKUP(B69,'[1]قائمة الاسعار'!$A:$I,9,0)</f>
        <v>62.91</v>
      </c>
      <c r="K69" s="4">
        <v>20</v>
      </c>
      <c r="L69" t="s">
        <v>481</v>
      </c>
      <c r="M69">
        <v>1</v>
      </c>
      <c r="N69" t="s">
        <v>482</v>
      </c>
    </row>
    <row r="70" spans="1:14" x14ac:dyDescent="0.25">
      <c r="A70">
        <v>602</v>
      </c>
      <c r="B70" s="3" t="s">
        <v>20</v>
      </c>
      <c r="C70" s="4" t="s">
        <v>21</v>
      </c>
      <c r="D70" s="4">
        <v>33.380000000000003</v>
      </c>
      <c r="E70" s="4">
        <v>32.5</v>
      </c>
      <c r="F70" s="4">
        <v>31.72</v>
      </c>
      <c r="G70" s="4">
        <v>33.380000000000003</v>
      </c>
      <c r="H70" s="4">
        <v>32.5</v>
      </c>
      <c r="I70" s="4">
        <v>31.72</v>
      </c>
      <c r="J70" s="4" t="str">
        <f>VLOOKUP(B70,'[1]قائمة الاسعار'!$A:$I,9,0)</f>
        <v>33.38</v>
      </c>
      <c r="K70" s="4">
        <v>10</v>
      </c>
      <c r="L70" t="s">
        <v>483</v>
      </c>
      <c r="M70">
        <v>1</v>
      </c>
      <c r="N70" t="s">
        <v>484</v>
      </c>
    </row>
    <row r="71" spans="1:14" x14ac:dyDescent="0.25">
      <c r="A71">
        <v>0</v>
      </c>
      <c r="B71" s="3" t="s">
        <v>6</v>
      </c>
      <c r="C71" s="4" t="s">
        <v>7</v>
      </c>
      <c r="D71" s="4">
        <v>34.78</v>
      </c>
      <c r="E71" s="4">
        <v>33.909999999999997</v>
      </c>
      <c r="F71" s="4">
        <v>33.04</v>
      </c>
      <c r="G71" s="4">
        <v>34.78</v>
      </c>
      <c r="H71" s="4">
        <v>33.909999999999997</v>
      </c>
      <c r="I71" s="4">
        <v>33.04</v>
      </c>
      <c r="J71" s="4" t="str">
        <f>VLOOKUP(B71,'[1]قائمة الاسعار'!$A:$I,9,0)</f>
        <v>34.78</v>
      </c>
      <c r="K71" s="4">
        <v>10</v>
      </c>
      <c r="L71" t="s">
        <v>472</v>
      </c>
      <c r="M71">
        <v>1</v>
      </c>
      <c r="N71" t="s">
        <v>473</v>
      </c>
    </row>
    <row r="72" spans="1:14" x14ac:dyDescent="0.25">
      <c r="A72">
        <v>0</v>
      </c>
      <c r="B72" s="3" t="s">
        <v>10</v>
      </c>
      <c r="C72" s="4" t="s">
        <v>11</v>
      </c>
      <c r="D72" s="4">
        <v>34.78</v>
      </c>
      <c r="E72" s="4">
        <v>33.909999999999997</v>
      </c>
      <c r="F72" s="4">
        <v>33.04</v>
      </c>
      <c r="G72" s="4">
        <v>34.78</v>
      </c>
      <c r="H72" s="4">
        <v>33.909999999999997</v>
      </c>
      <c r="I72" s="4">
        <v>33.04</v>
      </c>
      <c r="J72" s="4" t="str">
        <f>VLOOKUP(B72,'[1]قائمة الاسعار'!$A:$I,9,0)</f>
        <v>34.78</v>
      </c>
      <c r="K72" s="4">
        <v>10</v>
      </c>
      <c r="L72" t="s">
        <v>472</v>
      </c>
      <c r="M72">
        <v>1</v>
      </c>
      <c r="N72" t="s">
        <v>475</v>
      </c>
    </row>
    <row r="73" spans="1:14" x14ac:dyDescent="0.25">
      <c r="A73">
        <v>0</v>
      </c>
      <c r="B73" s="3" t="s">
        <v>12</v>
      </c>
      <c r="C73" s="4" t="s">
        <v>13</v>
      </c>
      <c r="D73" s="4">
        <v>34.78</v>
      </c>
      <c r="E73" s="4">
        <v>33.909999999999997</v>
      </c>
      <c r="F73" s="4">
        <v>33.04</v>
      </c>
      <c r="G73" s="4">
        <v>34.78</v>
      </c>
      <c r="H73" s="4">
        <v>33.909999999999997</v>
      </c>
      <c r="I73" s="4">
        <v>33.04</v>
      </c>
      <c r="J73" s="4" t="str">
        <f>VLOOKUP(B73,'[1]قائمة الاسعار'!$A:$I,9,0)</f>
        <v>34.78</v>
      </c>
      <c r="K73" s="4">
        <v>10</v>
      </c>
      <c r="L73" t="s">
        <v>472</v>
      </c>
      <c r="M73">
        <v>1</v>
      </c>
      <c r="N73" t="s">
        <v>476</v>
      </c>
    </row>
    <row r="74" spans="1:14" x14ac:dyDescent="0.25">
      <c r="A74">
        <v>274</v>
      </c>
      <c r="B74" s="3" t="s">
        <v>140</v>
      </c>
      <c r="C74" s="4" t="s">
        <v>141</v>
      </c>
      <c r="D74" s="4">
        <v>34.03</v>
      </c>
      <c r="E74" s="4">
        <v>33.130000000000003</v>
      </c>
      <c r="F74" s="4">
        <v>32.33</v>
      </c>
      <c r="G74" s="4">
        <v>34.03</v>
      </c>
      <c r="H74" s="4">
        <v>33.130000000000003</v>
      </c>
      <c r="I74" s="4">
        <v>32.33</v>
      </c>
      <c r="J74" s="4" t="str">
        <f>VLOOKUP(B74,'[1]قائمة الاسعار'!$A:$I,9,0)</f>
        <v>34.03</v>
      </c>
      <c r="K74" s="4">
        <v>10</v>
      </c>
      <c r="L74" t="s">
        <v>468</v>
      </c>
      <c r="M74">
        <v>1</v>
      </c>
      <c r="N74" t="s">
        <v>563</v>
      </c>
    </row>
    <row r="75" spans="1:14" x14ac:dyDescent="0.25">
      <c r="A75">
        <v>101</v>
      </c>
      <c r="B75" s="3" t="s">
        <v>142</v>
      </c>
      <c r="C75" s="4" t="s">
        <v>143</v>
      </c>
      <c r="D75" s="4">
        <v>34.03</v>
      </c>
      <c r="E75" s="4">
        <v>33.130000000000003</v>
      </c>
      <c r="F75" s="4">
        <v>32.33</v>
      </c>
      <c r="G75" s="4">
        <v>34.03</v>
      </c>
      <c r="H75" s="4">
        <v>33.130000000000003</v>
      </c>
      <c r="I75" s="4">
        <v>32.33</v>
      </c>
      <c r="J75" s="4" t="str">
        <f>VLOOKUP(B75,'[1]قائمة الاسعار'!$A:$I,9,0)</f>
        <v>34.03</v>
      </c>
      <c r="K75" s="4">
        <v>10</v>
      </c>
      <c r="L75" t="s">
        <v>468</v>
      </c>
      <c r="M75">
        <v>1</v>
      </c>
      <c r="N75" t="s">
        <v>564</v>
      </c>
    </row>
    <row r="76" spans="1:14" x14ac:dyDescent="0.25">
      <c r="A76">
        <v>162</v>
      </c>
      <c r="B76" s="3" t="s">
        <v>144</v>
      </c>
      <c r="C76" s="4" t="s">
        <v>145</v>
      </c>
      <c r="D76" s="4">
        <v>34.03</v>
      </c>
      <c r="E76" s="4">
        <v>33.130000000000003</v>
      </c>
      <c r="F76" s="4">
        <v>32.33</v>
      </c>
      <c r="G76" s="4">
        <v>34.03</v>
      </c>
      <c r="H76" s="4">
        <v>33.130000000000003</v>
      </c>
      <c r="I76" s="4">
        <v>32.33</v>
      </c>
      <c r="J76" s="4" t="str">
        <f>VLOOKUP(B76,'[1]قائمة الاسعار'!$A:$I,9,0)</f>
        <v>34.03</v>
      </c>
      <c r="K76" s="4">
        <v>10</v>
      </c>
      <c r="L76" t="s">
        <v>468</v>
      </c>
      <c r="M76">
        <v>1</v>
      </c>
      <c r="N76" t="s">
        <v>565</v>
      </c>
    </row>
    <row r="77" spans="1:14" x14ac:dyDescent="0.25">
      <c r="A77">
        <v>249</v>
      </c>
      <c r="B77" s="3" t="s">
        <v>156</v>
      </c>
      <c r="C77" s="4" t="s">
        <v>157</v>
      </c>
      <c r="D77" s="4">
        <v>34.67</v>
      </c>
      <c r="E77" s="4">
        <v>33.75</v>
      </c>
      <c r="F77" s="4">
        <v>32.94</v>
      </c>
      <c r="G77" s="4">
        <v>34.67</v>
      </c>
      <c r="H77" s="4">
        <v>33.75</v>
      </c>
      <c r="I77" s="4">
        <v>32.94</v>
      </c>
      <c r="J77" s="4" t="str">
        <f>VLOOKUP(B77,'[1]قائمة الاسعار'!$A:$I,9,0)</f>
        <v>34.67</v>
      </c>
      <c r="K77" s="4">
        <v>10</v>
      </c>
      <c r="L77" t="s">
        <v>472</v>
      </c>
      <c r="M77">
        <v>1</v>
      </c>
      <c r="N77" t="s">
        <v>576</v>
      </c>
    </row>
    <row r="78" spans="1:14" x14ac:dyDescent="0.25">
      <c r="A78">
        <v>248</v>
      </c>
      <c r="B78" s="3" t="s">
        <v>158</v>
      </c>
      <c r="C78" s="4" t="s">
        <v>159</v>
      </c>
      <c r="D78" s="4">
        <v>34.67</v>
      </c>
      <c r="E78" s="4">
        <v>33.75</v>
      </c>
      <c r="F78" s="4">
        <v>32.94</v>
      </c>
      <c r="G78" s="4">
        <v>34.67</v>
      </c>
      <c r="H78" s="4">
        <v>33.75</v>
      </c>
      <c r="I78" s="4">
        <v>32.94</v>
      </c>
      <c r="J78" s="4" t="str">
        <f>VLOOKUP(B78,'[1]قائمة الاسعار'!$A:$I,9,0)</f>
        <v>34.67</v>
      </c>
      <c r="K78" s="4">
        <v>10</v>
      </c>
      <c r="L78" t="s">
        <v>472</v>
      </c>
      <c r="M78">
        <v>1</v>
      </c>
      <c r="N78" t="s">
        <v>577</v>
      </c>
    </row>
    <row r="79" spans="1:14" x14ac:dyDescent="0.25">
      <c r="A79">
        <v>146</v>
      </c>
      <c r="B79" s="3" t="s">
        <v>160</v>
      </c>
      <c r="C79" s="4" t="s">
        <v>161</v>
      </c>
      <c r="D79" s="4">
        <v>34.67</v>
      </c>
      <c r="E79" s="4">
        <v>33.75</v>
      </c>
      <c r="F79" s="4">
        <v>32.94</v>
      </c>
      <c r="G79" s="4">
        <v>34.67</v>
      </c>
      <c r="H79" s="4">
        <v>33.75</v>
      </c>
      <c r="I79" s="4">
        <v>32.94</v>
      </c>
      <c r="J79" s="4" t="str">
        <f>VLOOKUP(B79,'[1]قائمة الاسعار'!$A:$I,9,0)</f>
        <v>34.67</v>
      </c>
      <c r="K79" s="4">
        <v>10</v>
      </c>
      <c r="L79" t="s">
        <v>472</v>
      </c>
      <c r="M79">
        <v>1</v>
      </c>
      <c r="N79" t="s">
        <v>578</v>
      </c>
    </row>
    <row r="80" spans="1:14" x14ac:dyDescent="0.25">
      <c r="A80">
        <v>119</v>
      </c>
      <c r="B80" s="3" t="s">
        <v>162</v>
      </c>
      <c r="C80" s="4" t="s">
        <v>163</v>
      </c>
      <c r="D80" s="4">
        <v>34.67</v>
      </c>
      <c r="E80" s="4">
        <v>33.75</v>
      </c>
      <c r="F80" s="4">
        <v>32.94</v>
      </c>
      <c r="G80" s="4">
        <v>34.67</v>
      </c>
      <c r="H80" s="4">
        <v>33.75</v>
      </c>
      <c r="I80" s="4">
        <v>32.94</v>
      </c>
      <c r="J80" s="4" t="str">
        <f>VLOOKUP(B80,'[1]قائمة الاسعار'!$A:$I,9,0)</f>
        <v>34.67</v>
      </c>
      <c r="K80" s="4">
        <v>10</v>
      </c>
      <c r="L80" t="s">
        <v>472</v>
      </c>
      <c r="M80">
        <v>1</v>
      </c>
      <c r="N80" t="s">
        <v>579</v>
      </c>
    </row>
    <row r="81" spans="1:14" x14ac:dyDescent="0.25">
      <c r="A81">
        <v>190</v>
      </c>
      <c r="B81" s="3" t="s">
        <v>164</v>
      </c>
      <c r="C81" s="4" t="s">
        <v>165</v>
      </c>
      <c r="D81" s="4">
        <v>34.67</v>
      </c>
      <c r="E81" s="4">
        <v>33.75</v>
      </c>
      <c r="F81" s="4">
        <v>32.94</v>
      </c>
      <c r="G81" s="4">
        <v>34.67</v>
      </c>
      <c r="H81" s="4">
        <v>33.75</v>
      </c>
      <c r="I81" s="4">
        <v>32.94</v>
      </c>
      <c r="J81" s="4" t="str">
        <f>VLOOKUP(B81,'[1]قائمة الاسعار'!$A:$I,9,0)</f>
        <v>34.67</v>
      </c>
      <c r="K81" s="4">
        <v>10</v>
      </c>
      <c r="L81" t="s">
        <v>472</v>
      </c>
      <c r="M81">
        <v>1</v>
      </c>
      <c r="N81" t="s">
        <v>580</v>
      </c>
    </row>
    <row r="82" spans="1:14" x14ac:dyDescent="0.25">
      <c r="A82">
        <v>265</v>
      </c>
      <c r="B82" s="3" t="s">
        <v>308</v>
      </c>
      <c r="C82" s="4" t="s">
        <v>309</v>
      </c>
      <c r="D82" s="4">
        <v>26</v>
      </c>
      <c r="E82" s="4">
        <v>25</v>
      </c>
      <c r="F82" s="4">
        <v>24.5</v>
      </c>
      <c r="G82" s="4">
        <v>26</v>
      </c>
      <c r="H82" s="4">
        <v>25</v>
      </c>
      <c r="I82" s="4">
        <v>24.5</v>
      </c>
      <c r="J82" s="4" t="str">
        <f>VLOOKUP(B82,'[1]قائمة الاسعار'!$A:$I,9,0)</f>
        <v>26.00</v>
      </c>
      <c r="K82" s="4">
        <v>20</v>
      </c>
      <c r="L82" t="s">
        <v>685</v>
      </c>
      <c r="M82">
        <v>1</v>
      </c>
      <c r="N82" t="s">
        <v>686</v>
      </c>
    </row>
    <row r="83" spans="1:14" x14ac:dyDescent="0.25">
      <c r="A83">
        <v>0</v>
      </c>
      <c r="B83" s="3" t="s">
        <v>312</v>
      </c>
      <c r="C83" s="4" t="s">
        <v>313</v>
      </c>
      <c r="D83" s="4">
        <v>27</v>
      </c>
      <c r="E83" s="4">
        <v>26</v>
      </c>
      <c r="F83" s="4">
        <v>26</v>
      </c>
      <c r="G83" s="4">
        <v>27</v>
      </c>
      <c r="H83" s="4">
        <v>26</v>
      </c>
      <c r="I83" s="4">
        <v>26</v>
      </c>
      <c r="J83" s="4" t="str">
        <f>VLOOKUP(B83,'[1]قائمة الاسعار'!$A:$I,9,0)</f>
        <v>27.00</v>
      </c>
      <c r="K83" s="4">
        <v>20</v>
      </c>
      <c r="L83" t="s">
        <v>688</v>
      </c>
      <c r="M83">
        <v>1</v>
      </c>
      <c r="N83" t="s">
        <v>689</v>
      </c>
    </row>
    <row r="84" spans="1:14" x14ac:dyDescent="0.25">
      <c r="A84">
        <v>0</v>
      </c>
      <c r="B84" s="3" t="s">
        <v>282</v>
      </c>
      <c r="C84" s="4" t="s">
        <v>283</v>
      </c>
      <c r="D84" s="4">
        <v>55.78</v>
      </c>
      <c r="E84" s="4">
        <v>54</v>
      </c>
      <c r="F84" s="4">
        <v>53</v>
      </c>
      <c r="G84" s="4">
        <v>55.78</v>
      </c>
      <c r="H84" s="4">
        <v>54</v>
      </c>
      <c r="I84" s="4">
        <v>53</v>
      </c>
      <c r="J84" s="4" t="str">
        <f>VLOOKUP(B84,'[1]قائمة الاسعار'!$A:$I,9,0)</f>
        <v>55.78</v>
      </c>
      <c r="K84" s="4">
        <v>1</v>
      </c>
      <c r="L84" t="s">
        <v>671</v>
      </c>
      <c r="M84">
        <v>1</v>
      </c>
      <c r="N84" t="s">
        <v>672</v>
      </c>
    </row>
    <row r="85" spans="1:14" x14ac:dyDescent="0.25">
      <c r="A85">
        <v>0</v>
      </c>
      <c r="B85" s="3" t="s">
        <v>284</v>
      </c>
      <c r="C85" s="4" t="s">
        <v>285</v>
      </c>
      <c r="D85" s="4">
        <v>55.78</v>
      </c>
      <c r="E85" s="4">
        <v>54</v>
      </c>
      <c r="F85" s="4">
        <v>53</v>
      </c>
      <c r="G85" s="4">
        <v>55.78</v>
      </c>
      <c r="H85" s="4">
        <v>54</v>
      </c>
      <c r="I85" s="4">
        <v>53</v>
      </c>
      <c r="J85" s="4" t="str">
        <f>VLOOKUP(B85,'[1]قائمة الاسعار'!$A:$I,9,0)</f>
        <v>55.78</v>
      </c>
      <c r="K85" s="4">
        <v>1</v>
      </c>
      <c r="L85" t="s">
        <v>671</v>
      </c>
      <c r="M85">
        <v>1</v>
      </c>
      <c r="N85" t="s">
        <v>673</v>
      </c>
    </row>
    <row r="86" spans="1:14" x14ac:dyDescent="0.25">
      <c r="A86">
        <v>8</v>
      </c>
      <c r="B86" s="3" t="s">
        <v>318</v>
      </c>
      <c r="C86" s="4" t="s">
        <v>319</v>
      </c>
      <c r="D86" s="4">
        <v>81.5</v>
      </c>
      <c r="E86" s="4">
        <v>81.5</v>
      </c>
      <c r="F86" s="4">
        <v>80</v>
      </c>
      <c r="G86" s="4">
        <v>81.5</v>
      </c>
      <c r="H86" s="4">
        <v>81.5</v>
      </c>
      <c r="I86" s="4">
        <v>80</v>
      </c>
      <c r="J86" s="4" t="str">
        <f>VLOOKUP(B86,'[1]قائمة الاسعار'!$A:$I,9,0)</f>
        <v>84.00</v>
      </c>
      <c r="K86" s="4">
        <v>1</v>
      </c>
      <c r="L86" t="s">
        <v>692</v>
      </c>
      <c r="M86">
        <v>1</v>
      </c>
      <c r="N86" t="s">
        <v>693</v>
      </c>
    </row>
    <row r="87" spans="1:14" x14ac:dyDescent="0.25">
      <c r="A87">
        <v>20</v>
      </c>
      <c r="B87" s="3" t="s">
        <v>348</v>
      </c>
      <c r="C87" s="4" t="s">
        <v>349</v>
      </c>
      <c r="D87" s="4">
        <v>55.78</v>
      </c>
      <c r="E87" s="4">
        <v>54</v>
      </c>
      <c r="F87" s="4">
        <v>53</v>
      </c>
      <c r="G87" s="4">
        <v>55.78</v>
      </c>
      <c r="H87" s="4">
        <v>54</v>
      </c>
      <c r="I87" s="4">
        <v>53</v>
      </c>
      <c r="J87" s="4" t="str">
        <f>VLOOKUP(B87,'[1]قائمة الاسعار'!$A:$I,9,0)</f>
        <v>55.78</v>
      </c>
      <c r="K87" s="4">
        <v>1</v>
      </c>
      <c r="L87" t="s">
        <v>671</v>
      </c>
      <c r="M87">
        <v>1</v>
      </c>
      <c r="N87" t="s">
        <v>708</v>
      </c>
    </row>
    <row r="88" spans="1:14" x14ac:dyDescent="0.25">
      <c r="A88">
        <v>0</v>
      </c>
      <c r="B88" s="3" t="s">
        <v>422</v>
      </c>
      <c r="C88" s="4" t="s">
        <v>423</v>
      </c>
      <c r="D88" s="4">
        <v>36</v>
      </c>
      <c r="E88" s="4">
        <v>35</v>
      </c>
      <c r="F88" s="4">
        <v>34</v>
      </c>
      <c r="G88" s="4">
        <v>36</v>
      </c>
      <c r="H88" s="4">
        <v>35</v>
      </c>
      <c r="I88" s="4">
        <v>34</v>
      </c>
      <c r="J88" s="4" t="str">
        <f>VLOOKUP(B88,'[1]قائمة الاسعار'!$A:$I,9,0)</f>
        <v>35.70</v>
      </c>
      <c r="K88" s="4">
        <v>3</v>
      </c>
      <c r="L88" t="s">
        <v>744</v>
      </c>
      <c r="M88">
        <v>1</v>
      </c>
      <c r="N88" t="s">
        <v>745</v>
      </c>
    </row>
    <row r="89" spans="1:14" x14ac:dyDescent="0.25">
      <c r="A89">
        <v>18</v>
      </c>
      <c r="B89" s="3" t="s">
        <v>0</v>
      </c>
      <c r="C89" s="4" t="s">
        <v>1</v>
      </c>
      <c r="D89" s="4">
        <v>35</v>
      </c>
      <c r="E89" s="4">
        <v>34</v>
      </c>
      <c r="F89" s="4">
        <v>33</v>
      </c>
      <c r="G89" s="4">
        <v>35</v>
      </c>
      <c r="H89" s="4">
        <v>34</v>
      </c>
      <c r="I89" s="4">
        <v>33</v>
      </c>
      <c r="J89" s="4" t="str">
        <f>VLOOKUP(B89,'[1]قائمة الاسعار'!$A:$I,9,0)</f>
        <v>34.00</v>
      </c>
      <c r="K89" s="4">
        <v>1</v>
      </c>
      <c r="L89" t="s">
        <v>468</v>
      </c>
      <c r="M89">
        <v>1</v>
      </c>
      <c r="N89" t="s">
        <v>469</v>
      </c>
    </row>
    <row r="90" spans="1:14" x14ac:dyDescent="0.25">
      <c r="A90">
        <v>7</v>
      </c>
      <c r="B90" s="3" t="s">
        <v>2</v>
      </c>
      <c r="C90" s="4" t="s">
        <v>3</v>
      </c>
      <c r="D90" s="4">
        <v>35</v>
      </c>
      <c r="E90" s="4">
        <v>34</v>
      </c>
      <c r="F90" s="4">
        <v>33</v>
      </c>
      <c r="G90" s="4">
        <v>35</v>
      </c>
      <c r="H90" s="4">
        <v>34</v>
      </c>
      <c r="I90" s="4">
        <v>33</v>
      </c>
      <c r="J90" s="4" t="str">
        <f>VLOOKUP(B90,'[1]قائمة الاسعار'!$A:$I,9,0)</f>
        <v>34.00</v>
      </c>
      <c r="K90" s="4">
        <v>1</v>
      </c>
      <c r="L90" t="s">
        <v>468</v>
      </c>
      <c r="M90">
        <v>1</v>
      </c>
      <c r="N90" t="s">
        <v>470</v>
      </c>
    </row>
    <row r="91" spans="1:14" x14ac:dyDescent="0.25">
      <c r="A91">
        <v>0</v>
      </c>
      <c r="B91" s="3" t="s">
        <v>4</v>
      </c>
      <c r="C91" s="4" t="s">
        <v>5</v>
      </c>
      <c r="D91" s="4">
        <v>35</v>
      </c>
      <c r="E91" s="4">
        <v>34</v>
      </c>
      <c r="F91" s="4">
        <v>33</v>
      </c>
      <c r="G91" s="4">
        <v>35</v>
      </c>
      <c r="H91" s="4">
        <v>34</v>
      </c>
      <c r="I91" s="4">
        <v>33</v>
      </c>
      <c r="J91" s="4" t="str">
        <f>VLOOKUP(B91,'[1]قائمة الاسعار'!$A:$I,9,0)</f>
        <v>34.00</v>
      </c>
      <c r="K91" s="4">
        <v>1</v>
      </c>
      <c r="L91" t="s">
        <v>468</v>
      </c>
      <c r="M91">
        <v>1</v>
      </c>
      <c r="N91" t="s">
        <v>471</v>
      </c>
    </row>
    <row r="92" spans="1:14" x14ac:dyDescent="0.25">
      <c r="A92">
        <v>0</v>
      </c>
      <c r="B92" s="3" t="s">
        <v>8</v>
      </c>
      <c r="C92" s="4" t="s">
        <v>9</v>
      </c>
      <c r="D92" s="4">
        <v>34.78</v>
      </c>
      <c r="E92" s="4">
        <v>33.909999999999997</v>
      </c>
      <c r="F92" s="4">
        <v>33.04</v>
      </c>
      <c r="G92" s="4">
        <v>34.78</v>
      </c>
      <c r="H92" s="4">
        <v>33.909999999999997</v>
      </c>
      <c r="I92" s="4">
        <v>33.04</v>
      </c>
      <c r="J92" s="4" t="str">
        <f>VLOOKUP(B92,'[1]قائمة الاسعار'!$A:$I,9,0)</f>
        <v>34.78</v>
      </c>
      <c r="K92" s="4">
        <v>10</v>
      </c>
      <c r="L92" t="s">
        <v>472</v>
      </c>
      <c r="M92">
        <v>1</v>
      </c>
      <c r="N92" t="s">
        <v>474</v>
      </c>
    </row>
    <row r="93" spans="1:14" x14ac:dyDescent="0.25">
      <c r="A93">
        <v>0</v>
      </c>
      <c r="B93" s="3" t="s">
        <v>14</v>
      </c>
      <c r="C93" s="4" t="s">
        <v>15</v>
      </c>
      <c r="D93" s="4">
        <v>64</v>
      </c>
      <c r="E93" s="4">
        <v>62</v>
      </c>
      <c r="F93" s="4">
        <v>61</v>
      </c>
      <c r="G93" s="4">
        <v>64</v>
      </c>
      <c r="H93" s="4">
        <v>62</v>
      </c>
      <c r="I93" s="4">
        <v>61</v>
      </c>
      <c r="J93" s="4" t="str">
        <f>VLOOKUP(B93,'[1]قائمة الاسعار'!$A:$I,9,0)</f>
        <v>64.20</v>
      </c>
      <c r="K93" s="4">
        <v>1</v>
      </c>
      <c r="L93" t="s">
        <v>477</v>
      </c>
      <c r="M93">
        <v>1</v>
      </c>
      <c r="N93" t="s">
        <v>478</v>
      </c>
    </row>
    <row r="94" spans="1:14" x14ac:dyDescent="0.25">
      <c r="A94">
        <v>0</v>
      </c>
      <c r="B94" s="3" t="s">
        <v>16</v>
      </c>
      <c r="C94" s="4" t="s">
        <v>17</v>
      </c>
      <c r="D94" s="4">
        <v>64</v>
      </c>
      <c r="E94" s="4">
        <v>62</v>
      </c>
      <c r="F94" s="4">
        <v>61</v>
      </c>
      <c r="G94" s="4">
        <v>64</v>
      </c>
      <c r="H94" s="4">
        <v>62</v>
      </c>
      <c r="I94" s="4">
        <v>61</v>
      </c>
      <c r="J94" s="4" t="str">
        <f>VLOOKUP(B94,'[1]قائمة الاسعار'!$A:$I,9,0)</f>
        <v>64.20</v>
      </c>
      <c r="K94" s="4">
        <v>1</v>
      </c>
      <c r="L94" t="s">
        <v>479</v>
      </c>
      <c r="M94">
        <v>1</v>
      </c>
      <c r="N94" t="s">
        <v>480</v>
      </c>
    </row>
    <row r="95" spans="1:14" x14ac:dyDescent="0.25">
      <c r="A95">
        <v>0</v>
      </c>
      <c r="B95" s="3" t="s">
        <v>64</v>
      </c>
      <c r="C95" s="4" t="s">
        <v>65</v>
      </c>
      <c r="D95" s="4">
        <v>90</v>
      </c>
      <c r="E95" s="4">
        <v>87.5</v>
      </c>
      <c r="F95" s="4">
        <v>85.5</v>
      </c>
      <c r="G95" s="4">
        <v>90</v>
      </c>
      <c r="H95" s="4">
        <v>87.5</v>
      </c>
      <c r="I95" s="4">
        <v>85.5</v>
      </c>
      <c r="J95" s="4" t="str">
        <f>VLOOKUP(B95,'[1]قائمة الاسعار'!$A:$I,9,0)</f>
        <v>90.00</v>
      </c>
      <c r="K95" s="4">
        <v>20</v>
      </c>
      <c r="L95" t="s">
        <v>506</v>
      </c>
      <c r="M95">
        <v>1</v>
      </c>
      <c r="N95" t="s">
        <v>507</v>
      </c>
    </row>
    <row r="96" spans="1:14" x14ac:dyDescent="0.25">
      <c r="A96">
        <v>0</v>
      </c>
      <c r="B96" s="3" t="s">
        <v>66</v>
      </c>
      <c r="C96" s="4" t="s">
        <v>67</v>
      </c>
      <c r="D96" s="4">
        <v>45</v>
      </c>
      <c r="E96" s="4">
        <v>44</v>
      </c>
      <c r="F96" s="4">
        <v>43</v>
      </c>
      <c r="G96" s="4">
        <v>45</v>
      </c>
      <c r="H96" s="4">
        <v>44</v>
      </c>
      <c r="I96" s="4">
        <v>43</v>
      </c>
      <c r="J96" s="4" t="str">
        <f>VLOOKUP(B96,'[1]قائمة الاسعار'!$A:$I,9,0)</f>
        <v>45.00</v>
      </c>
      <c r="K96" s="4">
        <v>20</v>
      </c>
      <c r="L96" t="s">
        <v>508</v>
      </c>
      <c r="M96">
        <v>1</v>
      </c>
      <c r="N96" t="s">
        <v>509</v>
      </c>
    </row>
    <row r="97" spans="1:14" x14ac:dyDescent="0.25">
      <c r="A97">
        <v>14</v>
      </c>
      <c r="B97" s="3" t="s">
        <v>68</v>
      </c>
      <c r="C97" s="4" t="s">
        <v>69</v>
      </c>
      <c r="D97" s="4">
        <v>90</v>
      </c>
      <c r="E97" s="4">
        <v>87.5</v>
      </c>
      <c r="F97" s="4">
        <v>85.4</v>
      </c>
      <c r="G97" s="4">
        <v>90</v>
      </c>
      <c r="H97" s="4">
        <v>87.5</v>
      </c>
      <c r="I97" s="4">
        <v>85.4</v>
      </c>
      <c r="J97" s="4" t="str">
        <f>VLOOKUP(B97,'[1]قائمة الاسعار'!$A:$I,9,0)</f>
        <v>90.00</v>
      </c>
      <c r="K97" s="4">
        <v>1</v>
      </c>
      <c r="L97" t="s">
        <v>510</v>
      </c>
      <c r="M97">
        <v>1</v>
      </c>
      <c r="N97" t="s">
        <v>511</v>
      </c>
    </row>
    <row r="98" spans="1:14" x14ac:dyDescent="0.25">
      <c r="A98">
        <v>30</v>
      </c>
      <c r="B98" s="3" t="s">
        <v>70</v>
      </c>
      <c r="C98" s="4" t="s">
        <v>71</v>
      </c>
      <c r="D98" s="4">
        <v>109.14</v>
      </c>
      <c r="E98" s="4">
        <v>106.25</v>
      </c>
      <c r="F98" s="4">
        <v>103.7</v>
      </c>
      <c r="G98" s="4">
        <v>109.14</v>
      </c>
      <c r="H98" s="4">
        <v>106.25</v>
      </c>
      <c r="I98" s="4">
        <v>103.7</v>
      </c>
      <c r="J98" s="4" t="str">
        <f>VLOOKUP(B98,'[1]قائمة الاسعار'!$A:$I,9,0)</f>
        <v>109.14</v>
      </c>
      <c r="K98" s="4">
        <v>1</v>
      </c>
      <c r="L98" t="s">
        <v>510</v>
      </c>
      <c r="M98">
        <v>1</v>
      </c>
      <c r="N98" t="s">
        <v>512</v>
      </c>
    </row>
    <row r="99" spans="1:14" x14ac:dyDescent="0.25">
      <c r="A99">
        <v>8</v>
      </c>
      <c r="B99" s="3" t="s">
        <v>72</v>
      </c>
      <c r="C99" s="4" t="s">
        <v>73</v>
      </c>
      <c r="D99" s="4">
        <v>116</v>
      </c>
      <c r="E99" s="4">
        <v>112.5</v>
      </c>
      <c r="F99" s="4">
        <v>110</v>
      </c>
      <c r="G99" s="4">
        <v>116</v>
      </c>
      <c r="H99" s="4">
        <v>112.5</v>
      </c>
      <c r="I99" s="4">
        <v>110</v>
      </c>
      <c r="J99" s="4" t="str">
        <f>VLOOKUP(B99,'[1]قائمة الاسعار'!$A:$I,9,0)</f>
        <v>116.00</v>
      </c>
      <c r="K99" s="4">
        <v>20</v>
      </c>
      <c r="L99" t="s">
        <v>513</v>
      </c>
      <c r="M99">
        <v>1</v>
      </c>
      <c r="N99" t="s">
        <v>514</v>
      </c>
    </row>
    <row r="100" spans="1:14" x14ac:dyDescent="0.25">
      <c r="A100">
        <v>28</v>
      </c>
      <c r="B100" s="3" t="s">
        <v>74</v>
      </c>
      <c r="C100" s="4" t="s">
        <v>75</v>
      </c>
      <c r="D100" s="4">
        <v>116</v>
      </c>
      <c r="E100" s="4">
        <v>112.5</v>
      </c>
      <c r="F100" s="4">
        <v>110</v>
      </c>
      <c r="G100" s="4">
        <v>116</v>
      </c>
      <c r="H100" s="4">
        <v>112.5</v>
      </c>
      <c r="I100" s="4">
        <v>110</v>
      </c>
      <c r="J100" s="4" t="str">
        <f>VLOOKUP(B100,'[1]قائمة الاسعار'!$A:$I,9,0)</f>
        <v>116.00</v>
      </c>
      <c r="K100" s="4">
        <v>20</v>
      </c>
      <c r="L100" t="s">
        <v>513</v>
      </c>
      <c r="M100">
        <v>1</v>
      </c>
      <c r="N100" t="s">
        <v>515</v>
      </c>
    </row>
    <row r="101" spans="1:14" x14ac:dyDescent="0.25">
      <c r="A101">
        <v>5</v>
      </c>
      <c r="B101" s="3" t="s">
        <v>76</v>
      </c>
      <c r="C101" s="4" t="s">
        <v>77</v>
      </c>
      <c r="D101" s="4">
        <v>145.09</v>
      </c>
      <c r="E101" s="4">
        <v>141.25</v>
      </c>
      <c r="F101" s="4">
        <v>137.86000000000001</v>
      </c>
      <c r="G101" s="4">
        <v>145.09</v>
      </c>
      <c r="H101" s="4">
        <v>141.25</v>
      </c>
      <c r="I101" s="4">
        <v>137.86000000000001</v>
      </c>
      <c r="J101" s="4" t="str">
        <f>VLOOKUP(B101,'[1]قائمة الاسعار'!$A:$I,9,0)</f>
        <v>145.09</v>
      </c>
      <c r="K101" s="4">
        <v>20</v>
      </c>
      <c r="L101" t="s">
        <v>513</v>
      </c>
      <c r="M101">
        <v>1</v>
      </c>
      <c r="N101" t="s">
        <v>516</v>
      </c>
    </row>
    <row r="102" spans="1:14" x14ac:dyDescent="0.25">
      <c r="A102">
        <v>198</v>
      </c>
      <c r="B102" s="3" t="s">
        <v>78</v>
      </c>
      <c r="C102" s="4" t="s">
        <v>79</v>
      </c>
      <c r="D102" s="4">
        <v>27</v>
      </c>
      <c r="E102" s="4">
        <v>26.5</v>
      </c>
      <c r="F102" s="4">
        <v>26</v>
      </c>
      <c r="G102" s="4">
        <v>27</v>
      </c>
      <c r="H102" s="4">
        <v>26.5</v>
      </c>
      <c r="I102" s="4">
        <v>26</v>
      </c>
      <c r="J102" s="4" t="str">
        <f>VLOOKUP(B102,'[1]قائمة الاسعار'!$A:$I,9,0)</f>
        <v>27.00</v>
      </c>
      <c r="K102" s="4">
        <v>20</v>
      </c>
      <c r="L102" t="s">
        <v>517</v>
      </c>
      <c r="M102">
        <v>1</v>
      </c>
      <c r="N102" t="s">
        <v>518</v>
      </c>
    </row>
    <row r="103" spans="1:14" x14ac:dyDescent="0.25">
      <c r="A103">
        <v>167</v>
      </c>
      <c r="B103" s="3" t="s">
        <v>80</v>
      </c>
      <c r="C103" s="4" t="s">
        <v>81</v>
      </c>
      <c r="D103" s="4">
        <v>41</v>
      </c>
      <c r="E103" s="4">
        <v>40</v>
      </c>
      <c r="F103" s="4">
        <v>39</v>
      </c>
      <c r="G103" s="4">
        <v>41</v>
      </c>
      <c r="H103" s="4">
        <v>40</v>
      </c>
      <c r="I103" s="4">
        <v>39</v>
      </c>
      <c r="J103" s="4" t="str">
        <f>VLOOKUP(B103,'[1]قائمة الاسعار'!$A:$I,9,0)</f>
        <v>41.00</v>
      </c>
      <c r="K103" s="4">
        <v>20</v>
      </c>
      <c r="L103" t="s">
        <v>519</v>
      </c>
      <c r="M103">
        <v>1</v>
      </c>
      <c r="N103" t="s">
        <v>520</v>
      </c>
    </row>
    <row r="104" spans="1:14" x14ac:dyDescent="0.25">
      <c r="A104">
        <v>111</v>
      </c>
      <c r="B104" s="3" t="s">
        <v>82</v>
      </c>
      <c r="C104" s="4" t="s">
        <v>83</v>
      </c>
      <c r="D104" s="4">
        <v>73.5</v>
      </c>
      <c r="E104" s="4">
        <v>71.25</v>
      </c>
      <c r="F104" s="4">
        <v>70</v>
      </c>
      <c r="G104" s="4">
        <v>73.5</v>
      </c>
      <c r="H104" s="4">
        <v>71.25</v>
      </c>
      <c r="I104" s="4">
        <v>70</v>
      </c>
      <c r="J104" s="4" t="str">
        <f>VLOOKUP(B104,'[1]قائمة الاسعار'!$A:$I,9,0)</f>
        <v>73.50</v>
      </c>
      <c r="K104" s="4">
        <v>20</v>
      </c>
      <c r="L104" t="s">
        <v>519</v>
      </c>
      <c r="M104">
        <v>1</v>
      </c>
      <c r="N104" t="s">
        <v>521</v>
      </c>
    </row>
    <row r="105" spans="1:14" x14ac:dyDescent="0.25">
      <c r="A105">
        <v>70</v>
      </c>
      <c r="B105" s="3" t="s">
        <v>84</v>
      </c>
      <c r="C105" s="4" t="s">
        <v>85</v>
      </c>
      <c r="D105" s="4">
        <v>104</v>
      </c>
      <c r="E105" s="4">
        <v>102</v>
      </c>
      <c r="F105" s="4">
        <v>99</v>
      </c>
      <c r="G105" s="4">
        <v>104</v>
      </c>
      <c r="H105" s="4">
        <v>102</v>
      </c>
      <c r="I105" s="4">
        <v>99</v>
      </c>
      <c r="J105" s="4" t="str">
        <f>VLOOKUP(B105,'[1]قائمة الاسعار'!$A:$I,9,0)</f>
        <v>104.00</v>
      </c>
      <c r="K105" s="4">
        <v>20</v>
      </c>
      <c r="L105" t="s">
        <v>519</v>
      </c>
      <c r="M105">
        <v>1</v>
      </c>
      <c r="N105" t="s">
        <v>522</v>
      </c>
    </row>
    <row r="106" spans="1:14" x14ac:dyDescent="0.25">
      <c r="A106">
        <v>19</v>
      </c>
      <c r="B106" s="3" t="s">
        <v>86</v>
      </c>
      <c r="C106" s="4" t="s">
        <v>87</v>
      </c>
      <c r="D106" s="4">
        <v>90</v>
      </c>
      <c r="E106" s="4">
        <v>87.5</v>
      </c>
      <c r="F106" s="4">
        <v>85.5</v>
      </c>
      <c r="G106" s="4">
        <v>90</v>
      </c>
      <c r="H106" s="4">
        <v>87.5</v>
      </c>
      <c r="I106" s="4">
        <v>85.5</v>
      </c>
      <c r="J106" s="4" t="str">
        <f>VLOOKUP(B106,'[1]قائمة الاسعار'!$A:$I,9,0)</f>
        <v>90.00</v>
      </c>
      <c r="K106" s="4">
        <v>10</v>
      </c>
      <c r="L106" t="s">
        <v>519</v>
      </c>
      <c r="M106">
        <v>1</v>
      </c>
      <c r="N106" t="s">
        <v>523</v>
      </c>
    </row>
    <row r="107" spans="1:14" x14ac:dyDescent="0.25">
      <c r="A107">
        <v>28</v>
      </c>
      <c r="B107" s="3" t="s">
        <v>88</v>
      </c>
      <c r="C107" s="4" t="s">
        <v>89</v>
      </c>
      <c r="D107" s="4">
        <v>62.35</v>
      </c>
      <c r="E107" s="4">
        <v>61.25</v>
      </c>
      <c r="F107" s="4">
        <v>60</v>
      </c>
      <c r="G107" s="4">
        <v>62.35</v>
      </c>
      <c r="H107" s="4">
        <v>61.25</v>
      </c>
      <c r="I107" s="4">
        <v>60</v>
      </c>
      <c r="J107" s="4" t="str">
        <f>VLOOKUP(B107,'[1]قائمة الاسعار'!$A:$I,9,0)</f>
        <v>62.35</v>
      </c>
      <c r="K107" s="4">
        <v>10</v>
      </c>
      <c r="L107" t="s">
        <v>524</v>
      </c>
      <c r="M107">
        <v>1</v>
      </c>
      <c r="N107" t="s">
        <v>525</v>
      </c>
    </row>
    <row r="108" spans="1:14" x14ac:dyDescent="0.25">
      <c r="A108">
        <v>8</v>
      </c>
      <c r="B108" s="3" t="s">
        <v>90</v>
      </c>
      <c r="C108" s="4" t="s">
        <v>91</v>
      </c>
      <c r="D108" s="4">
        <v>58</v>
      </c>
      <c r="E108" s="4">
        <v>56.25</v>
      </c>
      <c r="F108" s="4">
        <v>55</v>
      </c>
      <c r="G108" s="4">
        <v>58</v>
      </c>
      <c r="H108" s="4">
        <v>56.25</v>
      </c>
      <c r="I108" s="4">
        <v>55</v>
      </c>
      <c r="J108" s="4" t="str">
        <f>VLOOKUP(B108,'[1]قائمة الاسعار'!$A:$I,9,0)</f>
        <v>58.00</v>
      </c>
      <c r="K108" s="4">
        <v>10</v>
      </c>
      <c r="L108" t="s">
        <v>524</v>
      </c>
      <c r="M108">
        <v>1</v>
      </c>
      <c r="N108" t="s">
        <v>526</v>
      </c>
    </row>
    <row r="109" spans="1:14" x14ac:dyDescent="0.25">
      <c r="A109">
        <v>52</v>
      </c>
      <c r="B109" s="3" t="s">
        <v>92</v>
      </c>
      <c r="C109" s="4" t="s">
        <v>93</v>
      </c>
      <c r="D109" s="4">
        <v>58</v>
      </c>
      <c r="E109" s="4">
        <v>56.25</v>
      </c>
      <c r="F109" s="4">
        <v>55</v>
      </c>
      <c r="G109" s="4">
        <v>58</v>
      </c>
      <c r="H109" s="4">
        <v>56.25</v>
      </c>
      <c r="I109" s="4">
        <v>55</v>
      </c>
      <c r="J109" s="4" t="str">
        <f>VLOOKUP(B109,'[1]قائمة الاسعار'!$A:$I,9,0)</f>
        <v>58.00</v>
      </c>
      <c r="K109" s="4">
        <v>10</v>
      </c>
      <c r="L109" t="s">
        <v>524</v>
      </c>
      <c r="M109">
        <v>1</v>
      </c>
      <c r="N109" t="s">
        <v>527</v>
      </c>
    </row>
    <row r="110" spans="1:14" x14ac:dyDescent="0.25">
      <c r="A110">
        <v>46</v>
      </c>
      <c r="B110" s="3" t="s">
        <v>94</v>
      </c>
      <c r="C110" s="4" t="s">
        <v>95</v>
      </c>
      <c r="D110" s="4">
        <v>23.5</v>
      </c>
      <c r="E110" s="4">
        <v>22.5</v>
      </c>
      <c r="F110" s="4">
        <v>22</v>
      </c>
      <c r="G110" s="4">
        <v>23.5</v>
      </c>
      <c r="H110" s="4">
        <v>22.5</v>
      </c>
      <c r="I110" s="4">
        <v>22</v>
      </c>
      <c r="J110" s="4" t="str">
        <f>VLOOKUP(B110,'[1]قائمة الاسعار'!$A:$I,9,0)</f>
        <v>23.50</v>
      </c>
      <c r="K110" s="4">
        <v>20</v>
      </c>
      <c r="L110" t="s">
        <v>528</v>
      </c>
      <c r="M110">
        <v>1</v>
      </c>
      <c r="N110" t="s">
        <v>529</v>
      </c>
    </row>
    <row r="111" spans="1:14" x14ac:dyDescent="0.25">
      <c r="A111">
        <v>375</v>
      </c>
      <c r="B111" s="3" t="s">
        <v>96</v>
      </c>
      <c r="C111" s="4" t="s">
        <v>97</v>
      </c>
      <c r="D111" s="4">
        <v>23.5</v>
      </c>
      <c r="E111" s="4">
        <v>22.5</v>
      </c>
      <c r="F111" s="4">
        <v>22</v>
      </c>
      <c r="G111" s="4">
        <v>23.5</v>
      </c>
      <c r="H111" s="4">
        <v>22.5</v>
      </c>
      <c r="I111" s="4">
        <v>22</v>
      </c>
      <c r="J111" s="4" t="str">
        <f>VLOOKUP(B111,'[1]قائمة الاسعار'!$A:$I,9,0)</f>
        <v>23.50</v>
      </c>
      <c r="K111" s="4">
        <v>20</v>
      </c>
      <c r="L111" t="s">
        <v>530</v>
      </c>
      <c r="M111">
        <v>1</v>
      </c>
      <c r="N111" t="s">
        <v>531</v>
      </c>
    </row>
    <row r="112" spans="1:14" x14ac:dyDescent="0.25">
      <c r="A112">
        <v>46</v>
      </c>
      <c r="B112" s="3" t="s">
        <v>98</v>
      </c>
      <c r="C112" s="4" t="s">
        <v>99</v>
      </c>
      <c r="D112" s="4">
        <v>90</v>
      </c>
      <c r="E112" s="4">
        <v>87.5</v>
      </c>
      <c r="F112" s="4">
        <v>85.5</v>
      </c>
      <c r="G112" s="4">
        <v>90</v>
      </c>
      <c r="H112" s="4">
        <v>87.5</v>
      </c>
      <c r="I112" s="4">
        <v>85.5</v>
      </c>
      <c r="J112" s="4" t="str">
        <f>VLOOKUP(B112,'[1]قائمة الاسعار'!$A:$I,9,0)</f>
        <v>90.00</v>
      </c>
      <c r="K112" s="4">
        <v>20</v>
      </c>
      <c r="L112" t="s">
        <v>532</v>
      </c>
      <c r="M112">
        <v>1</v>
      </c>
      <c r="N112" t="s">
        <v>533</v>
      </c>
    </row>
    <row r="113" spans="1:14" x14ac:dyDescent="0.25">
      <c r="A113">
        <v>0</v>
      </c>
      <c r="B113" s="3" t="s">
        <v>100</v>
      </c>
      <c r="C113" s="4" t="s">
        <v>101</v>
      </c>
      <c r="D113" s="4">
        <v>90</v>
      </c>
      <c r="E113" s="4">
        <v>87.5</v>
      </c>
      <c r="F113" s="4">
        <v>85.5</v>
      </c>
      <c r="G113" s="4">
        <v>90</v>
      </c>
      <c r="H113" s="4">
        <v>87.5</v>
      </c>
      <c r="I113" s="4">
        <v>85.5</v>
      </c>
      <c r="J113" s="4" t="str">
        <f>VLOOKUP(B113,'[1]قائمة الاسعار'!$A:$I,9,0)</f>
        <v>90.00</v>
      </c>
      <c r="K113" s="4">
        <v>20</v>
      </c>
      <c r="L113" t="s">
        <v>534</v>
      </c>
      <c r="M113">
        <v>1</v>
      </c>
      <c r="N113" t="s">
        <v>535</v>
      </c>
    </row>
    <row r="114" spans="1:14" x14ac:dyDescent="0.25">
      <c r="A114">
        <v>45</v>
      </c>
      <c r="B114" s="3" t="s">
        <v>102</v>
      </c>
      <c r="C114" s="4" t="s">
        <v>103</v>
      </c>
      <c r="D114" s="4">
        <v>90</v>
      </c>
      <c r="E114" s="4">
        <v>87.5</v>
      </c>
      <c r="F114" s="4">
        <v>85.5</v>
      </c>
      <c r="G114" s="4">
        <v>90</v>
      </c>
      <c r="H114" s="4">
        <v>87.5</v>
      </c>
      <c r="I114" s="4">
        <v>85.5</v>
      </c>
      <c r="J114" s="4" t="str">
        <f>VLOOKUP(B114,'[1]قائمة الاسعار'!$A:$I,9,0)</f>
        <v>90.00</v>
      </c>
      <c r="K114" s="4">
        <v>20</v>
      </c>
      <c r="L114" t="s">
        <v>536</v>
      </c>
      <c r="M114">
        <v>1</v>
      </c>
      <c r="N114" t="s">
        <v>537</v>
      </c>
    </row>
    <row r="115" spans="1:14" x14ac:dyDescent="0.25">
      <c r="A115">
        <v>0</v>
      </c>
      <c r="B115" s="3" t="s">
        <v>236</v>
      </c>
      <c r="C115" s="4" t="s">
        <v>237</v>
      </c>
      <c r="D115" s="4">
        <v>39.94</v>
      </c>
      <c r="E115" s="4">
        <v>38.94</v>
      </c>
      <c r="F115" s="4">
        <v>37.950000000000003</v>
      </c>
      <c r="G115" s="4">
        <v>39.94</v>
      </c>
      <c r="H115" s="4">
        <v>38.94</v>
      </c>
      <c r="I115" s="4">
        <v>37.950000000000003</v>
      </c>
      <c r="J115" s="4" t="str">
        <f>VLOOKUP(B115,'[1]قائمة الاسعار'!$A:$I,9,0)</f>
        <v>39.94</v>
      </c>
      <c r="K115" s="4">
        <v>0</v>
      </c>
      <c r="L115">
        <v>0</v>
      </c>
      <c r="M115">
        <v>0</v>
      </c>
      <c r="N115" t="s">
        <v>639</v>
      </c>
    </row>
    <row r="116" spans="1:14" x14ac:dyDescent="0.25">
      <c r="A116">
        <v>0</v>
      </c>
      <c r="B116" s="3" t="s">
        <v>244</v>
      </c>
      <c r="C116" s="4" t="s">
        <v>245</v>
      </c>
      <c r="D116" s="4">
        <v>85</v>
      </c>
      <c r="E116" s="4">
        <v>83</v>
      </c>
      <c r="F116" s="4">
        <v>80</v>
      </c>
      <c r="G116" s="4">
        <v>0</v>
      </c>
      <c r="H116" s="4">
        <v>0</v>
      </c>
      <c r="I116" s="4">
        <v>0</v>
      </c>
      <c r="J116" s="4" t="str">
        <f>VLOOKUP(B116,'[1]قائمة الاسعار'!$A:$I,9,0)</f>
        <v>85.00</v>
      </c>
      <c r="K116" s="4">
        <v>4</v>
      </c>
      <c r="L116" s="5" t="s">
        <v>761</v>
      </c>
      <c r="M116">
        <v>49</v>
      </c>
      <c r="N116" t="s">
        <v>644</v>
      </c>
    </row>
    <row r="117" spans="1:14" x14ac:dyDescent="0.25">
      <c r="A117">
        <v>0</v>
      </c>
      <c r="B117" s="3" t="s">
        <v>270</v>
      </c>
      <c r="C117" s="4" t="s">
        <v>271</v>
      </c>
      <c r="D117" s="4">
        <v>27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 t="str">
        <f>VLOOKUP(B117,'[1]قائمة الاسعار'!$A:$I,9,0)</f>
        <v>0.00</v>
      </c>
      <c r="K117" s="4">
        <v>0</v>
      </c>
      <c r="L117">
        <v>0</v>
      </c>
      <c r="M117">
        <v>0</v>
      </c>
      <c r="N117" t="s">
        <v>667</v>
      </c>
    </row>
    <row r="118" spans="1:14" x14ac:dyDescent="0.25">
      <c r="A118">
        <v>0</v>
      </c>
      <c r="B118" s="3" t="s">
        <v>22</v>
      </c>
      <c r="C118" s="4" t="s">
        <v>23</v>
      </c>
      <c r="D118" s="4">
        <v>45</v>
      </c>
      <c r="E118" s="4">
        <v>45</v>
      </c>
      <c r="F118" s="4">
        <v>41</v>
      </c>
      <c r="G118" s="4">
        <v>45</v>
      </c>
      <c r="H118" s="4">
        <v>45</v>
      </c>
      <c r="I118" s="4">
        <v>41</v>
      </c>
      <c r="J118" s="4" t="str">
        <f>VLOOKUP(B118,'[1]قائمة الاسعار'!$A:$I,9,0)</f>
        <v>43.05</v>
      </c>
      <c r="K118" s="4">
        <v>0</v>
      </c>
      <c r="L118">
        <v>0</v>
      </c>
      <c r="M118">
        <v>0</v>
      </c>
      <c r="N118" t="s">
        <v>485</v>
      </c>
    </row>
    <row r="119" spans="1:14" x14ac:dyDescent="0.25">
      <c r="A119">
        <v>0</v>
      </c>
      <c r="B119" s="3" t="s">
        <v>24</v>
      </c>
      <c r="C119" s="4" t="s">
        <v>25</v>
      </c>
      <c r="D119" s="4">
        <v>31</v>
      </c>
      <c r="E119" s="4">
        <v>31</v>
      </c>
      <c r="F119" s="4">
        <v>30</v>
      </c>
      <c r="G119" s="4">
        <v>31</v>
      </c>
      <c r="H119" s="4">
        <v>31</v>
      </c>
      <c r="I119" s="4">
        <v>30</v>
      </c>
      <c r="J119" s="4" t="str">
        <f>VLOOKUP(B119,'[1]قائمة الاسعار'!$A:$I,9,0)</f>
        <v>31.50</v>
      </c>
      <c r="K119" s="4">
        <v>0</v>
      </c>
      <c r="L119">
        <v>0</v>
      </c>
      <c r="M119">
        <v>0</v>
      </c>
      <c r="N119" t="s">
        <v>486</v>
      </c>
    </row>
    <row r="120" spans="1:14" x14ac:dyDescent="0.25">
      <c r="A120">
        <v>0</v>
      </c>
      <c r="B120" s="3" t="s">
        <v>26</v>
      </c>
      <c r="C120" s="4" t="s">
        <v>27</v>
      </c>
      <c r="D120" s="4">
        <v>46</v>
      </c>
      <c r="E120" s="4">
        <v>46</v>
      </c>
      <c r="F120" s="4">
        <v>44</v>
      </c>
      <c r="G120" s="4">
        <v>46</v>
      </c>
      <c r="H120" s="4">
        <v>46</v>
      </c>
      <c r="I120" s="4">
        <v>44</v>
      </c>
      <c r="J120" s="4" t="str">
        <f>VLOOKUP(B120,'[1]قائمة الاسعار'!$A:$I,9,0)</f>
        <v>46.20</v>
      </c>
      <c r="K120" s="4">
        <v>0</v>
      </c>
      <c r="L120">
        <v>0</v>
      </c>
      <c r="M120">
        <v>0</v>
      </c>
      <c r="N120" t="s">
        <v>487</v>
      </c>
    </row>
    <row r="121" spans="1:14" x14ac:dyDescent="0.25">
      <c r="A121">
        <v>0</v>
      </c>
      <c r="B121" s="3" t="s">
        <v>28</v>
      </c>
      <c r="C121" s="4" t="s">
        <v>29</v>
      </c>
      <c r="D121" s="4">
        <v>59</v>
      </c>
      <c r="E121" s="4">
        <v>59</v>
      </c>
      <c r="F121" s="4">
        <v>55</v>
      </c>
      <c r="G121" s="4">
        <v>59</v>
      </c>
      <c r="H121" s="4">
        <v>59</v>
      </c>
      <c r="I121" s="4">
        <v>55</v>
      </c>
      <c r="J121" s="4" t="str">
        <f>VLOOKUP(B121,'[1]قائمة الاسعار'!$A:$I,9,0)</f>
        <v>57.75</v>
      </c>
      <c r="K121" s="4">
        <v>0</v>
      </c>
      <c r="L121">
        <v>0</v>
      </c>
      <c r="M121">
        <v>0</v>
      </c>
      <c r="N121" t="s">
        <v>488</v>
      </c>
    </row>
    <row r="122" spans="1:14" x14ac:dyDescent="0.25">
      <c r="A122">
        <v>0</v>
      </c>
      <c r="B122" s="3" t="s">
        <v>30</v>
      </c>
      <c r="C122" s="4" t="s">
        <v>31</v>
      </c>
      <c r="D122" s="4">
        <v>142</v>
      </c>
      <c r="E122" s="4">
        <v>142</v>
      </c>
      <c r="F122" s="4">
        <v>138.5</v>
      </c>
      <c r="G122" s="4">
        <v>142</v>
      </c>
      <c r="H122" s="4">
        <v>142</v>
      </c>
      <c r="I122" s="4">
        <v>138.5</v>
      </c>
      <c r="J122" s="4" t="str">
        <f>VLOOKUP(B122,'[1]قائمة الاسعار'!$A:$I,9,0)</f>
        <v>145.43</v>
      </c>
      <c r="K122" s="4">
        <v>0</v>
      </c>
      <c r="L122">
        <v>0</v>
      </c>
      <c r="M122">
        <v>0</v>
      </c>
      <c r="N122" t="s">
        <v>489</v>
      </c>
    </row>
    <row r="123" spans="1:14" x14ac:dyDescent="0.25">
      <c r="A123">
        <v>0</v>
      </c>
      <c r="B123" s="3" t="s">
        <v>32</v>
      </c>
      <c r="C123" s="4" t="s">
        <v>33</v>
      </c>
      <c r="D123" s="4">
        <v>102</v>
      </c>
      <c r="E123" s="4">
        <v>102</v>
      </c>
      <c r="F123" s="4">
        <v>98.5</v>
      </c>
      <c r="G123" s="4">
        <v>102</v>
      </c>
      <c r="H123" s="4">
        <v>102</v>
      </c>
      <c r="I123" s="4">
        <v>98.5</v>
      </c>
      <c r="J123" s="4" t="str">
        <f>VLOOKUP(B123,'[1]قائمة الاسعار'!$A:$I,9,0)</f>
        <v>103.43</v>
      </c>
      <c r="K123" s="4">
        <v>0</v>
      </c>
      <c r="L123">
        <v>0</v>
      </c>
      <c r="M123">
        <v>0</v>
      </c>
      <c r="N123" t="s">
        <v>490</v>
      </c>
    </row>
    <row r="124" spans="1:14" x14ac:dyDescent="0.25">
      <c r="A124">
        <v>0</v>
      </c>
      <c r="B124" s="3" t="s">
        <v>34</v>
      </c>
      <c r="C124" s="4" t="s">
        <v>35</v>
      </c>
      <c r="D124" s="4">
        <v>68</v>
      </c>
      <c r="E124" s="4">
        <v>66</v>
      </c>
      <c r="F124" s="4">
        <v>64</v>
      </c>
      <c r="G124" s="4">
        <v>68</v>
      </c>
      <c r="H124" s="4">
        <v>66</v>
      </c>
      <c r="I124" s="4">
        <v>64</v>
      </c>
      <c r="J124" s="4" t="str">
        <f>VLOOKUP(B124,'[1]قائمة الاسعار'!$A:$I,9,0)</f>
        <v>67.20</v>
      </c>
      <c r="K124" s="4">
        <v>0</v>
      </c>
      <c r="L124">
        <v>0</v>
      </c>
      <c r="M124">
        <v>0</v>
      </c>
      <c r="N124" t="s">
        <v>491</v>
      </c>
    </row>
    <row r="125" spans="1:14" x14ac:dyDescent="0.25">
      <c r="A125">
        <v>0</v>
      </c>
      <c r="B125" s="3" t="s">
        <v>36</v>
      </c>
      <c r="C125" s="4" t="s">
        <v>37</v>
      </c>
      <c r="D125" s="4">
        <v>60</v>
      </c>
      <c r="E125" s="4">
        <v>60</v>
      </c>
      <c r="F125" s="4">
        <v>58</v>
      </c>
      <c r="G125" s="4">
        <v>60</v>
      </c>
      <c r="H125" s="4">
        <v>60</v>
      </c>
      <c r="I125" s="4">
        <v>58</v>
      </c>
      <c r="J125" s="4" t="str">
        <f>VLOOKUP(B125,'[1]قائمة الاسعار'!$A:$I,9,0)</f>
        <v>60.90</v>
      </c>
      <c r="K125" s="4">
        <v>0</v>
      </c>
      <c r="L125">
        <v>0</v>
      </c>
      <c r="M125">
        <v>0</v>
      </c>
      <c r="N125" t="s">
        <v>492</v>
      </c>
    </row>
    <row r="126" spans="1:14" x14ac:dyDescent="0.25">
      <c r="A126">
        <v>0</v>
      </c>
      <c r="B126" s="3" t="s">
        <v>38</v>
      </c>
      <c r="C126" s="4" t="s">
        <v>39</v>
      </c>
      <c r="D126" s="4">
        <v>49</v>
      </c>
      <c r="E126" s="4">
        <v>49</v>
      </c>
      <c r="F126" s="4">
        <v>46</v>
      </c>
      <c r="G126" s="4">
        <v>49</v>
      </c>
      <c r="H126" s="4">
        <v>49</v>
      </c>
      <c r="I126" s="4">
        <v>46</v>
      </c>
      <c r="J126" s="4" t="str">
        <f>VLOOKUP(B126,'[1]قائمة الاسعار'!$A:$I,9,0)</f>
        <v>48.30</v>
      </c>
      <c r="K126" s="4">
        <v>0</v>
      </c>
      <c r="L126">
        <v>0</v>
      </c>
      <c r="M126">
        <v>0</v>
      </c>
      <c r="N126" t="s">
        <v>493</v>
      </c>
    </row>
    <row r="127" spans="1:14" x14ac:dyDescent="0.25">
      <c r="A127">
        <v>0</v>
      </c>
      <c r="B127" s="3" t="s">
        <v>40</v>
      </c>
      <c r="C127" s="4" t="s">
        <v>41</v>
      </c>
      <c r="D127" s="4">
        <v>60</v>
      </c>
      <c r="E127" s="4">
        <v>60</v>
      </c>
      <c r="F127" s="4">
        <v>58</v>
      </c>
      <c r="G127" s="4">
        <v>60</v>
      </c>
      <c r="H127" s="4">
        <v>60</v>
      </c>
      <c r="I127" s="4">
        <v>58</v>
      </c>
      <c r="J127" s="4" t="str">
        <f>VLOOKUP(B127,'[1]قائمة الاسعار'!$A:$I,9,0)</f>
        <v>60.90</v>
      </c>
      <c r="K127" s="4">
        <v>0</v>
      </c>
      <c r="L127">
        <v>0</v>
      </c>
      <c r="M127">
        <v>0</v>
      </c>
      <c r="N127" t="s">
        <v>494</v>
      </c>
    </row>
    <row r="128" spans="1:14" x14ac:dyDescent="0.25">
      <c r="A128">
        <v>0</v>
      </c>
      <c r="B128" s="3" t="s">
        <v>42</v>
      </c>
      <c r="C128" s="4" t="s">
        <v>43</v>
      </c>
      <c r="D128" s="4">
        <v>49</v>
      </c>
      <c r="E128" s="4">
        <v>49</v>
      </c>
      <c r="F128" s="4">
        <v>46</v>
      </c>
      <c r="G128" s="4">
        <v>49</v>
      </c>
      <c r="H128" s="4">
        <v>49</v>
      </c>
      <c r="I128" s="4">
        <v>46</v>
      </c>
      <c r="J128" s="4" t="str">
        <f>VLOOKUP(B128,'[1]قائمة الاسعار'!$A:$I,9,0)</f>
        <v>48.30</v>
      </c>
      <c r="K128" s="4">
        <v>0</v>
      </c>
      <c r="L128">
        <v>0</v>
      </c>
      <c r="M128">
        <v>0</v>
      </c>
      <c r="N128" t="s">
        <v>495</v>
      </c>
    </row>
    <row r="129" spans="1:14" x14ac:dyDescent="0.25">
      <c r="A129">
        <v>0</v>
      </c>
      <c r="B129" s="3" t="s">
        <v>44</v>
      </c>
      <c r="C129" s="4" t="s">
        <v>45</v>
      </c>
      <c r="D129" s="4">
        <v>52</v>
      </c>
      <c r="E129" s="4">
        <v>52</v>
      </c>
      <c r="F129" s="4">
        <v>47</v>
      </c>
      <c r="G129" s="4">
        <v>52</v>
      </c>
      <c r="H129" s="4">
        <v>52</v>
      </c>
      <c r="I129" s="4">
        <v>47</v>
      </c>
      <c r="J129" s="4" t="str">
        <f>VLOOKUP(B129,'[1]قائمة الاسعار'!$A:$I,9,0)</f>
        <v>49.35</v>
      </c>
      <c r="K129" s="4">
        <v>0</v>
      </c>
      <c r="L129">
        <v>0</v>
      </c>
      <c r="M129">
        <v>0</v>
      </c>
      <c r="N129" t="s">
        <v>496</v>
      </c>
    </row>
    <row r="130" spans="1:14" x14ac:dyDescent="0.25">
      <c r="A130">
        <v>0</v>
      </c>
      <c r="B130" s="3" t="s">
        <v>46</v>
      </c>
      <c r="C130" s="4" t="s">
        <v>47</v>
      </c>
      <c r="D130" s="4">
        <v>49</v>
      </c>
      <c r="E130" s="4">
        <v>49</v>
      </c>
      <c r="F130" s="4">
        <v>46</v>
      </c>
      <c r="G130" s="4">
        <v>49</v>
      </c>
      <c r="H130" s="4">
        <v>49</v>
      </c>
      <c r="I130" s="4">
        <v>46</v>
      </c>
      <c r="J130" s="4" t="str">
        <f>VLOOKUP(B130,'[1]قائمة الاسعار'!$A:$I,9,0)</f>
        <v>48.30</v>
      </c>
      <c r="K130" s="4">
        <v>0</v>
      </c>
      <c r="L130">
        <v>0</v>
      </c>
      <c r="M130">
        <v>0</v>
      </c>
      <c r="N130" t="s">
        <v>497</v>
      </c>
    </row>
    <row r="131" spans="1:14" x14ac:dyDescent="0.25">
      <c r="A131">
        <v>0</v>
      </c>
      <c r="B131" s="3" t="s">
        <v>48</v>
      </c>
      <c r="C131" s="4" t="s">
        <v>49</v>
      </c>
      <c r="D131" s="4">
        <v>43</v>
      </c>
      <c r="E131" s="4">
        <v>43</v>
      </c>
      <c r="F131" s="4">
        <v>38</v>
      </c>
      <c r="G131" s="4">
        <v>43</v>
      </c>
      <c r="H131" s="4">
        <v>43</v>
      </c>
      <c r="I131" s="4">
        <v>38</v>
      </c>
      <c r="J131" s="4" t="str">
        <f>VLOOKUP(B131,'[1]قائمة الاسعار'!$A:$I,9,0)</f>
        <v>39.90</v>
      </c>
      <c r="K131" s="4">
        <v>0</v>
      </c>
      <c r="L131">
        <v>0</v>
      </c>
      <c r="M131">
        <v>0</v>
      </c>
      <c r="N131" t="s">
        <v>498</v>
      </c>
    </row>
    <row r="132" spans="1:14" x14ac:dyDescent="0.25">
      <c r="A132">
        <v>0</v>
      </c>
      <c r="B132" s="3" t="s">
        <v>50</v>
      </c>
      <c r="C132" s="4" t="s">
        <v>51</v>
      </c>
      <c r="D132" s="4">
        <v>49</v>
      </c>
      <c r="E132" s="4">
        <v>49</v>
      </c>
      <c r="F132" s="4">
        <v>45</v>
      </c>
      <c r="G132" s="4">
        <v>49</v>
      </c>
      <c r="H132" s="4">
        <v>49</v>
      </c>
      <c r="I132" s="4">
        <v>45</v>
      </c>
      <c r="J132" s="4" t="str">
        <f>VLOOKUP(B132,'[1]قائمة الاسعار'!$A:$I,9,0)</f>
        <v>47.25</v>
      </c>
      <c r="K132" s="4">
        <v>0</v>
      </c>
      <c r="L132">
        <v>0</v>
      </c>
      <c r="M132">
        <v>0</v>
      </c>
      <c r="N132" t="s">
        <v>499</v>
      </c>
    </row>
    <row r="133" spans="1:14" x14ac:dyDescent="0.25">
      <c r="A133">
        <v>0</v>
      </c>
      <c r="B133" s="3" t="s">
        <v>52</v>
      </c>
      <c r="C133" s="4" t="s">
        <v>53</v>
      </c>
      <c r="D133" s="4">
        <v>43</v>
      </c>
      <c r="E133" s="4">
        <v>43</v>
      </c>
      <c r="F133" s="4">
        <v>38</v>
      </c>
      <c r="G133" s="4">
        <v>43</v>
      </c>
      <c r="H133" s="4">
        <v>43</v>
      </c>
      <c r="I133" s="4">
        <v>38</v>
      </c>
      <c r="J133" s="4" t="str">
        <f>VLOOKUP(B133,'[1]قائمة الاسعار'!$A:$I,9,0)</f>
        <v>39.90</v>
      </c>
      <c r="K133" s="4">
        <v>0</v>
      </c>
      <c r="L133">
        <v>0</v>
      </c>
      <c r="M133">
        <v>0</v>
      </c>
      <c r="N133" t="s">
        <v>500</v>
      </c>
    </row>
    <row r="134" spans="1:14" x14ac:dyDescent="0.25">
      <c r="A134">
        <v>0</v>
      </c>
      <c r="B134" s="3" t="s">
        <v>54</v>
      </c>
      <c r="C134" s="4" t="s">
        <v>55</v>
      </c>
      <c r="D134" s="4">
        <v>49</v>
      </c>
      <c r="E134" s="4">
        <v>49</v>
      </c>
      <c r="F134" s="4">
        <v>45</v>
      </c>
      <c r="G134" s="4">
        <v>49</v>
      </c>
      <c r="H134" s="4">
        <v>49</v>
      </c>
      <c r="I134" s="4">
        <v>45</v>
      </c>
      <c r="J134" s="4" t="str">
        <f>VLOOKUP(B134,'[1]قائمة الاسعار'!$A:$I,9,0)</f>
        <v>47.25</v>
      </c>
      <c r="K134" s="4">
        <v>0</v>
      </c>
      <c r="L134">
        <v>0</v>
      </c>
      <c r="M134">
        <v>0</v>
      </c>
      <c r="N134" t="s">
        <v>501</v>
      </c>
    </row>
    <row r="135" spans="1:14" x14ac:dyDescent="0.25">
      <c r="A135">
        <v>0</v>
      </c>
      <c r="B135" s="3" t="s">
        <v>56</v>
      </c>
      <c r="C135" s="4" t="s">
        <v>57</v>
      </c>
      <c r="D135" s="4">
        <v>43</v>
      </c>
      <c r="E135" s="4">
        <v>43</v>
      </c>
      <c r="F135" s="4">
        <v>38</v>
      </c>
      <c r="G135" s="4">
        <v>43</v>
      </c>
      <c r="H135" s="4">
        <v>43</v>
      </c>
      <c r="I135" s="4">
        <v>38</v>
      </c>
      <c r="J135" s="4" t="str">
        <f>VLOOKUP(B135,'[1]قائمة الاسعار'!$A:$I,9,0)</f>
        <v>39.90</v>
      </c>
      <c r="K135" s="4">
        <v>0</v>
      </c>
      <c r="L135">
        <v>0</v>
      </c>
      <c r="M135">
        <v>0</v>
      </c>
      <c r="N135" t="s">
        <v>502</v>
      </c>
    </row>
    <row r="136" spans="1:14" x14ac:dyDescent="0.25">
      <c r="A136">
        <v>0</v>
      </c>
      <c r="B136" s="3" t="s">
        <v>58</v>
      </c>
      <c r="C136" s="4" t="s">
        <v>59</v>
      </c>
      <c r="D136" s="4">
        <v>49</v>
      </c>
      <c r="E136" s="4">
        <v>49</v>
      </c>
      <c r="F136" s="4">
        <v>45</v>
      </c>
      <c r="G136" s="4">
        <v>49</v>
      </c>
      <c r="H136" s="4">
        <v>49</v>
      </c>
      <c r="I136" s="4">
        <v>45</v>
      </c>
      <c r="J136" s="4" t="str">
        <f>VLOOKUP(B136,'[1]قائمة الاسعار'!$A:$I,9,0)</f>
        <v>47.25</v>
      </c>
      <c r="K136" s="4">
        <v>0</v>
      </c>
      <c r="L136">
        <v>0</v>
      </c>
      <c r="M136">
        <v>0</v>
      </c>
      <c r="N136" t="s">
        <v>503</v>
      </c>
    </row>
    <row r="137" spans="1:14" x14ac:dyDescent="0.25">
      <c r="A137">
        <v>0</v>
      </c>
      <c r="B137" s="3" t="s">
        <v>60</v>
      </c>
      <c r="C137" s="4" t="s">
        <v>61</v>
      </c>
      <c r="D137" s="4">
        <v>38</v>
      </c>
      <c r="E137" s="4">
        <v>38</v>
      </c>
      <c r="F137" s="4">
        <v>33</v>
      </c>
      <c r="G137" s="4">
        <v>38</v>
      </c>
      <c r="H137" s="4">
        <v>38</v>
      </c>
      <c r="I137" s="4">
        <v>33</v>
      </c>
      <c r="J137" s="4" t="str">
        <f>VLOOKUP(B137,'[1]قائمة الاسعار'!$A:$I,9,0)</f>
        <v>34.65</v>
      </c>
      <c r="K137" s="4">
        <v>0</v>
      </c>
      <c r="L137">
        <v>0</v>
      </c>
      <c r="M137">
        <v>0</v>
      </c>
      <c r="N137" t="s">
        <v>504</v>
      </c>
    </row>
    <row r="138" spans="1:14" x14ac:dyDescent="0.25">
      <c r="A138">
        <v>0</v>
      </c>
      <c r="B138" s="3" t="s">
        <v>62</v>
      </c>
      <c r="C138" s="4" t="s">
        <v>63</v>
      </c>
      <c r="D138" s="4">
        <v>51</v>
      </c>
      <c r="E138" s="4">
        <v>51</v>
      </c>
      <c r="F138" s="4">
        <v>46</v>
      </c>
      <c r="G138" s="4">
        <v>51</v>
      </c>
      <c r="H138" s="4">
        <v>51</v>
      </c>
      <c r="I138" s="4">
        <v>46</v>
      </c>
      <c r="J138" s="4" t="str">
        <f>VLOOKUP(B138,'[1]قائمة الاسعار'!$A:$I,9,0)</f>
        <v>48.30</v>
      </c>
      <c r="K138" s="4">
        <v>0</v>
      </c>
      <c r="L138">
        <v>0</v>
      </c>
      <c r="M138">
        <v>0</v>
      </c>
      <c r="N138" t="s">
        <v>505</v>
      </c>
    </row>
    <row r="139" spans="1:14" x14ac:dyDescent="0.25">
      <c r="A139">
        <v>0</v>
      </c>
      <c r="B139" s="3" t="s">
        <v>104</v>
      </c>
      <c r="C139" s="4" t="s">
        <v>105</v>
      </c>
      <c r="D139" s="4">
        <v>28</v>
      </c>
      <c r="E139" s="4">
        <v>27</v>
      </c>
      <c r="F139" s="4">
        <v>26</v>
      </c>
      <c r="G139" s="4">
        <v>37</v>
      </c>
      <c r="H139" s="4">
        <v>33</v>
      </c>
      <c r="I139" s="4">
        <v>33</v>
      </c>
      <c r="J139" s="4" t="str">
        <f>VLOOKUP(B139,'[1]قائمة الاسعار'!$A:$I,9,0)</f>
        <v>27.30</v>
      </c>
      <c r="K139" s="4">
        <v>0</v>
      </c>
      <c r="L139">
        <v>0</v>
      </c>
      <c r="M139">
        <v>0</v>
      </c>
      <c r="N139" t="s">
        <v>538</v>
      </c>
    </row>
    <row r="140" spans="1:14" x14ac:dyDescent="0.25">
      <c r="A140">
        <v>0</v>
      </c>
      <c r="B140" s="3" t="s">
        <v>106</v>
      </c>
      <c r="C140" s="4" t="s">
        <v>107</v>
      </c>
      <c r="D140" s="4">
        <v>38</v>
      </c>
      <c r="E140" s="4">
        <v>37</v>
      </c>
      <c r="F140" s="4">
        <v>36</v>
      </c>
      <c r="G140" s="4">
        <v>38</v>
      </c>
      <c r="H140" s="4">
        <v>37</v>
      </c>
      <c r="I140" s="4">
        <v>36</v>
      </c>
      <c r="J140" s="4" t="str">
        <f>VLOOKUP(B140,'[1]قائمة الاسعار'!$A:$I,9,0)</f>
        <v>37.90</v>
      </c>
      <c r="K140" s="4">
        <v>0</v>
      </c>
      <c r="L140">
        <v>0</v>
      </c>
      <c r="M140">
        <v>0</v>
      </c>
      <c r="N140" t="s">
        <v>539</v>
      </c>
    </row>
    <row r="141" spans="1:14" x14ac:dyDescent="0.25">
      <c r="A141">
        <v>0</v>
      </c>
      <c r="B141" s="3" t="s">
        <v>108</v>
      </c>
      <c r="C141" s="4" t="s">
        <v>109</v>
      </c>
      <c r="D141" s="4">
        <v>41.3</v>
      </c>
      <c r="E141" s="4">
        <v>40.299999999999997</v>
      </c>
      <c r="F141" s="4">
        <v>39.299999999999997</v>
      </c>
      <c r="G141" s="4">
        <v>41.3</v>
      </c>
      <c r="H141" s="4">
        <v>40.299999999999997</v>
      </c>
      <c r="I141" s="4">
        <v>39.299999999999997</v>
      </c>
      <c r="J141" s="4" t="str">
        <f>VLOOKUP(B141,'[1]قائمة الاسعار'!$A:$I,9,0)</f>
        <v>41.40</v>
      </c>
      <c r="K141" s="4">
        <v>0</v>
      </c>
      <c r="L141">
        <v>0</v>
      </c>
      <c r="M141">
        <v>0</v>
      </c>
      <c r="N141" t="s">
        <v>540</v>
      </c>
    </row>
    <row r="142" spans="1:14" x14ac:dyDescent="0.25">
      <c r="A142">
        <v>0</v>
      </c>
      <c r="B142" s="3" t="s">
        <v>182</v>
      </c>
      <c r="C142" s="4" t="s">
        <v>183</v>
      </c>
      <c r="D142" s="4">
        <v>41.13</v>
      </c>
      <c r="E142" s="4">
        <v>40</v>
      </c>
      <c r="F142" s="4">
        <v>40</v>
      </c>
      <c r="G142" s="4">
        <v>41.13</v>
      </c>
      <c r="H142" s="4">
        <v>40</v>
      </c>
      <c r="I142" s="4">
        <v>40</v>
      </c>
      <c r="J142" s="4" t="str">
        <f>VLOOKUP(B142,'[1]قائمة الاسعار'!$A:$I,9,0)</f>
        <v>42.00</v>
      </c>
      <c r="K142" s="4">
        <v>0</v>
      </c>
      <c r="L142">
        <v>0</v>
      </c>
      <c r="M142">
        <v>0</v>
      </c>
      <c r="N142" t="s">
        <v>597</v>
      </c>
    </row>
    <row r="143" spans="1:14" x14ac:dyDescent="0.25">
      <c r="A143">
        <v>0</v>
      </c>
      <c r="B143" s="3" t="s">
        <v>184</v>
      </c>
      <c r="C143" s="4" t="s">
        <v>185</v>
      </c>
      <c r="D143" s="4">
        <v>70</v>
      </c>
      <c r="E143" s="4">
        <v>67.209999999999994</v>
      </c>
      <c r="F143" s="4">
        <v>66</v>
      </c>
      <c r="G143" s="4">
        <v>70</v>
      </c>
      <c r="H143" s="4">
        <v>67.209999999999994</v>
      </c>
      <c r="I143" s="4">
        <v>66</v>
      </c>
      <c r="J143" s="4" t="str">
        <f>VLOOKUP(B143,'[1]قائمة الاسعار'!$A:$I,9,0)</f>
        <v>69.30</v>
      </c>
      <c r="K143" s="4">
        <v>0</v>
      </c>
      <c r="L143">
        <v>0</v>
      </c>
      <c r="M143">
        <v>0</v>
      </c>
      <c r="N143" t="s">
        <v>598</v>
      </c>
    </row>
    <row r="144" spans="1:14" x14ac:dyDescent="0.25">
      <c r="A144">
        <v>0</v>
      </c>
      <c r="B144" s="3" t="s">
        <v>186</v>
      </c>
      <c r="C144" s="4" t="s">
        <v>187</v>
      </c>
      <c r="D144" s="4">
        <v>70</v>
      </c>
      <c r="E144" s="4">
        <v>67.209999999999994</v>
      </c>
      <c r="F144" s="4">
        <v>66</v>
      </c>
      <c r="G144" s="4">
        <v>72</v>
      </c>
      <c r="H144" s="4">
        <v>70</v>
      </c>
      <c r="I144" s="4">
        <v>68</v>
      </c>
      <c r="J144" s="4" t="str">
        <f>VLOOKUP(B144,'[1]قائمة الاسعار'!$A:$I,9,0)</f>
        <v>69.30</v>
      </c>
      <c r="K144" s="4">
        <v>0</v>
      </c>
      <c r="L144">
        <v>0</v>
      </c>
      <c r="M144">
        <v>0</v>
      </c>
      <c r="N144" t="s">
        <v>599</v>
      </c>
    </row>
    <row r="145" spans="1:14" x14ac:dyDescent="0.25">
      <c r="A145">
        <v>0</v>
      </c>
      <c r="B145" s="3" t="s">
        <v>188</v>
      </c>
      <c r="C145" s="4" t="s">
        <v>189</v>
      </c>
      <c r="D145" s="4">
        <v>46</v>
      </c>
      <c r="E145" s="4">
        <v>46</v>
      </c>
      <c r="F145" s="4">
        <v>45</v>
      </c>
      <c r="G145" s="4">
        <v>49</v>
      </c>
      <c r="H145" s="4">
        <v>49</v>
      </c>
      <c r="I145" s="4">
        <v>47</v>
      </c>
      <c r="J145" s="4" t="str">
        <f>VLOOKUP(B145,'[1]قائمة الاسعار'!$A:$I,9,0)</f>
        <v>47.25</v>
      </c>
      <c r="K145" s="4">
        <v>0</v>
      </c>
      <c r="L145">
        <v>0</v>
      </c>
      <c r="M145">
        <v>0</v>
      </c>
      <c r="N145" t="s">
        <v>600</v>
      </c>
    </row>
    <row r="146" spans="1:14" x14ac:dyDescent="0.25">
      <c r="A146">
        <v>0</v>
      </c>
      <c r="B146" s="3" t="s">
        <v>274</v>
      </c>
      <c r="C146" s="4" t="s">
        <v>275</v>
      </c>
      <c r="D146" s="4">
        <v>22</v>
      </c>
      <c r="E146" s="4">
        <v>21</v>
      </c>
      <c r="F146" s="4">
        <v>20</v>
      </c>
      <c r="G146" s="4">
        <v>22</v>
      </c>
      <c r="H146" s="4">
        <v>21</v>
      </c>
      <c r="I146" s="4">
        <v>20</v>
      </c>
      <c r="J146" s="4" t="str">
        <f>VLOOKUP(B146,'[1]قائمة الاسعار'!$A:$I,9,0)</f>
        <v>21.00</v>
      </c>
      <c r="K146" s="4">
        <v>0</v>
      </c>
      <c r="L146">
        <v>0</v>
      </c>
      <c r="M146">
        <v>0</v>
      </c>
      <c r="N146" t="s">
        <v>670</v>
      </c>
    </row>
    <row r="147" spans="1:14" x14ac:dyDescent="0.25">
      <c r="A147">
        <v>0</v>
      </c>
      <c r="B147" s="3" t="s">
        <v>286</v>
      </c>
      <c r="C147" s="4" t="s">
        <v>287</v>
      </c>
      <c r="D147" s="4">
        <v>47</v>
      </c>
      <c r="E147" s="4">
        <v>47</v>
      </c>
      <c r="F147" s="4">
        <v>44</v>
      </c>
      <c r="G147" s="4">
        <v>47</v>
      </c>
      <c r="H147" s="4">
        <v>47</v>
      </c>
      <c r="I147" s="4">
        <v>44</v>
      </c>
      <c r="J147" s="4" t="str">
        <f>VLOOKUP(B147,'[1]قائمة الاسعار'!$A:$I,9,0)</f>
        <v>46.20</v>
      </c>
      <c r="K147" s="4">
        <v>0</v>
      </c>
      <c r="L147">
        <v>0</v>
      </c>
      <c r="M147">
        <v>0</v>
      </c>
      <c r="N147" t="s">
        <v>674</v>
      </c>
    </row>
    <row r="148" spans="1:14" x14ac:dyDescent="0.25">
      <c r="A148">
        <v>0</v>
      </c>
      <c r="B148" s="3" t="s">
        <v>288</v>
      </c>
      <c r="C148" s="4" t="s">
        <v>289</v>
      </c>
      <c r="D148" s="4">
        <v>47</v>
      </c>
      <c r="E148" s="4">
        <v>47</v>
      </c>
      <c r="F148" s="4">
        <v>44</v>
      </c>
      <c r="G148" s="4">
        <v>47</v>
      </c>
      <c r="H148" s="4">
        <v>47</v>
      </c>
      <c r="I148" s="4">
        <v>44</v>
      </c>
      <c r="J148" s="4" t="str">
        <f>VLOOKUP(B148,'[1]قائمة الاسعار'!$A:$I,9,0)</f>
        <v>46.20</v>
      </c>
      <c r="K148" s="4">
        <v>0</v>
      </c>
      <c r="L148">
        <v>0</v>
      </c>
      <c r="M148">
        <v>0</v>
      </c>
      <c r="N148" t="s">
        <v>675</v>
      </c>
    </row>
    <row r="149" spans="1:14" x14ac:dyDescent="0.25">
      <c r="A149">
        <v>0</v>
      </c>
      <c r="B149" s="3" t="s">
        <v>290</v>
      </c>
      <c r="C149" s="4" t="s">
        <v>291</v>
      </c>
      <c r="D149" s="4">
        <v>69</v>
      </c>
      <c r="E149" s="4">
        <v>69</v>
      </c>
      <c r="F149" s="4">
        <v>66</v>
      </c>
      <c r="G149" s="4">
        <v>69</v>
      </c>
      <c r="H149" s="4">
        <v>69</v>
      </c>
      <c r="I149" s="4">
        <v>66</v>
      </c>
      <c r="J149" s="4" t="str">
        <f>VLOOKUP(B149,'[1]قائمة الاسعار'!$A:$I,9,0)</f>
        <v>69.30</v>
      </c>
      <c r="K149" s="4">
        <v>0</v>
      </c>
      <c r="L149">
        <v>0</v>
      </c>
      <c r="M149">
        <v>0</v>
      </c>
      <c r="N149" t="s">
        <v>676</v>
      </c>
    </row>
    <row r="150" spans="1:14" x14ac:dyDescent="0.25">
      <c r="A150">
        <v>0</v>
      </c>
      <c r="B150" s="3" t="s">
        <v>292</v>
      </c>
      <c r="C150" s="4" t="s">
        <v>293</v>
      </c>
      <c r="D150" s="4">
        <v>50</v>
      </c>
      <c r="E150" s="4">
        <v>50</v>
      </c>
      <c r="F150" s="4">
        <v>47</v>
      </c>
      <c r="G150" s="4">
        <v>50</v>
      </c>
      <c r="H150" s="4">
        <v>50</v>
      </c>
      <c r="I150" s="4">
        <v>47</v>
      </c>
      <c r="J150" s="4" t="str">
        <f>VLOOKUP(B150,'[1]قائمة الاسعار'!$A:$I,9,0)</f>
        <v>49.35</v>
      </c>
      <c r="K150" s="4">
        <v>0</v>
      </c>
      <c r="L150">
        <v>0</v>
      </c>
      <c r="M150">
        <v>0</v>
      </c>
      <c r="N150" t="s">
        <v>677</v>
      </c>
    </row>
    <row r="151" spans="1:14" x14ac:dyDescent="0.25">
      <c r="A151">
        <v>0</v>
      </c>
      <c r="B151" s="3" t="s">
        <v>294</v>
      </c>
      <c r="C151" s="4" t="s">
        <v>295</v>
      </c>
      <c r="D151" s="4">
        <v>79</v>
      </c>
      <c r="E151" s="4">
        <v>79</v>
      </c>
      <c r="F151" s="4">
        <v>78</v>
      </c>
      <c r="G151" s="4">
        <v>79</v>
      </c>
      <c r="H151" s="4">
        <v>79</v>
      </c>
      <c r="I151" s="4">
        <v>78</v>
      </c>
      <c r="J151" s="4" t="str">
        <f>VLOOKUP(B151,'[1]قائمة الاسعار'!$A:$I,9,0)</f>
        <v>81.90</v>
      </c>
      <c r="K151" s="4">
        <v>0</v>
      </c>
      <c r="L151">
        <v>0</v>
      </c>
      <c r="M151">
        <v>0</v>
      </c>
      <c r="N151" t="s">
        <v>678</v>
      </c>
    </row>
    <row r="152" spans="1:14" x14ac:dyDescent="0.25">
      <c r="A152">
        <v>0</v>
      </c>
      <c r="B152" s="3" t="s">
        <v>296</v>
      </c>
      <c r="C152" s="4" t="s">
        <v>297</v>
      </c>
      <c r="D152" s="4">
        <v>125</v>
      </c>
      <c r="E152" s="4">
        <v>125</v>
      </c>
      <c r="F152" s="4">
        <v>120</v>
      </c>
      <c r="G152" s="4">
        <v>125</v>
      </c>
      <c r="H152" s="4">
        <v>125</v>
      </c>
      <c r="I152" s="4">
        <v>120</v>
      </c>
      <c r="J152" s="4" t="str">
        <f>VLOOKUP(B152,'[1]قائمة الاسعار'!$A:$I,9,0)</f>
        <v>126.00</v>
      </c>
      <c r="K152" s="4">
        <v>0</v>
      </c>
      <c r="L152">
        <v>0</v>
      </c>
      <c r="M152">
        <v>0</v>
      </c>
      <c r="N152" t="s">
        <v>679</v>
      </c>
    </row>
    <row r="153" spans="1:14" x14ac:dyDescent="0.25">
      <c r="A153">
        <v>0</v>
      </c>
      <c r="B153" s="3" t="s">
        <v>298</v>
      </c>
      <c r="C153" s="4" t="s">
        <v>299</v>
      </c>
      <c r="D153" s="4">
        <v>17</v>
      </c>
      <c r="E153" s="4">
        <v>17</v>
      </c>
      <c r="F153" s="4">
        <v>17</v>
      </c>
      <c r="G153" s="4">
        <v>17</v>
      </c>
      <c r="H153" s="4">
        <v>17</v>
      </c>
      <c r="I153" s="4">
        <v>17</v>
      </c>
      <c r="J153" s="4" t="str">
        <f>VLOOKUP(B153,'[1]قائمة الاسعار'!$A:$I,9,0)</f>
        <v>17.85</v>
      </c>
      <c r="K153" s="4">
        <v>0</v>
      </c>
      <c r="L153">
        <v>0</v>
      </c>
      <c r="M153">
        <v>0</v>
      </c>
      <c r="N153" t="s">
        <v>680</v>
      </c>
    </row>
    <row r="154" spans="1:14" x14ac:dyDescent="0.25">
      <c r="A154">
        <v>0</v>
      </c>
      <c r="B154" s="3" t="s">
        <v>300</v>
      </c>
      <c r="C154" s="4" t="s">
        <v>301</v>
      </c>
      <c r="D154" s="4">
        <v>18</v>
      </c>
      <c r="E154" s="4">
        <v>18</v>
      </c>
      <c r="F154" s="4">
        <v>18</v>
      </c>
      <c r="G154" s="4">
        <v>18</v>
      </c>
      <c r="H154" s="4">
        <v>18</v>
      </c>
      <c r="I154" s="4">
        <v>18</v>
      </c>
      <c r="J154" s="4" t="str">
        <f>VLOOKUP(B154,'[1]قائمة الاسعار'!$A:$I,9,0)</f>
        <v>18.90</v>
      </c>
      <c r="K154" s="4">
        <v>0</v>
      </c>
      <c r="L154">
        <v>0</v>
      </c>
      <c r="M154">
        <v>0</v>
      </c>
      <c r="N154" t="s">
        <v>681</v>
      </c>
    </row>
    <row r="155" spans="1:14" x14ac:dyDescent="0.25">
      <c r="A155">
        <v>0</v>
      </c>
      <c r="B155" s="3" t="s">
        <v>302</v>
      </c>
      <c r="C155" s="4" t="s">
        <v>303</v>
      </c>
      <c r="D155" s="4">
        <v>40</v>
      </c>
      <c r="E155" s="4">
        <v>40</v>
      </c>
      <c r="F155" s="4">
        <v>35</v>
      </c>
      <c r="G155" s="4">
        <v>40</v>
      </c>
      <c r="H155" s="4">
        <v>40</v>
      </c>
      <c r="I155" s="4">
        <v>35</v>
      </c>
      <c r="J155" s="4" t="str">
        <f>VLOOKUP(B155,'[1]قائمة الاسعار'!$A:$I,9,0)</f>
        <v>36.75</v>
      </c>
      <c r="K155" s="4">
        <v>0</v>
      </c>
      <c r="L155">
        <v>0</v>
      </c>
      <c r="M155">
        <v>0</v>
      </c>
      <c r="N155" t="s">
        <v>682</v>
      </c>
    </row>
    <row r="156" spans="1:14" x14ac:dyDescent="0.25">
      <c r="A156">
        <v>0</v>
      </c>
      <c r="B156" s="3" t="s">
        <v>304</v>
      </c>
      <c r="C156" s="4" t="s">
        <v>305</v>
      </c>
      <c r="D156" s="4">
        <v>40</v>
      </c>
      <c r="E156" s="4">
        <v>40</v>
      </c>
      <c r="F156" s="4">
        <v>35</v>
      </c>
      <c r="G156" s="4">
        <v>40</v>
      </c>
      <c r="H156" s="4">
        <v>40</v>
      </c>
      <c r="I156" s="4">
        <v>35</v>
      </c>
      <c r="J156" s="4" t="str">
        <f>VLOOKUP(B156,'[1]قائمة الاسعار'!$A:$I,9,0)</f>
        <v>36.75</v>
      </c>
      <c r="K156" s="4">
        <v>0</v>
      </c>
      <c r="L156">
        <v>0</v>
      </c>
      <c r="M156">
        <v>0</v>
      </c>
      <c r="N156" t="s">
        <v>683</v>
      </c>
    </row>
    <row r="157" spans="1:14" x14ac:dyDescent="0.25">
      <c r="A157">
        <v>0</v>
      </c>
      <c r="B157" s="3" t="s">
        <v>306</v>
      </c>
      <c r="C157" s="4" t="s">
        <v>307</v>
      </c>
      <c r="D157" s="4">
        <v>69.56</v>
      </c>
      <c r="E157" s="4">
        <v>68.69</v>
      </c>
      <c r="F157" s="4">
        <v>67.819999999999993</v>
      </c>
      <c r="G157" s="4">
        <v>69.56</v>
      </c>
      <c r="H157" s="4">
        <v>68.69</v>
      </c>
      <c r="I157" s="4">
        <v>67.819999999999993</v>
      </c>
      <c r="J157" s="4" t="str">
        <f>VLOOKUP(B157,'[1]قائمة الاسعار'!$A:$I,9,0)</f>
        <v>71.21</v>
      </c>
      <c r="K157" s="4">
        <v>0</v>
      </c>
      <c r="L157">
        <v>0</v>
      </c>
      <c r="M157">
        <v>0</v>
      </c>
      <c r="N157" t="s">
        <v>684</v>
      </c>
    </row>
    <row r="158" spans="1:14" x14ac:dyDescent="0.25">
      <c r="A158">
        <v>0</v>
      </c>
      <c r="B158" s="3" t="s">
        <v>310</v>
      </c>
      <c r="C158" s="4" t="s">
        <v>311</v>
      </c>
      <c r="D158" s="4">
        <v>35</v>
      </c>
      <c r="E158" s="4">
        <v>34</v>
      </c>
      <c r="F158" s="4">
        <v>33</v>
      </c>
      <c r="G158" s="4">
        <v>35</v>
      </c>
      <c r="H158" s="4">
        <v>34</v>
      </c>
      <c r="I158" s="4">
        <v>33</v>
      </c>
      <c r="J158" s="4" t="str">
        <f>VLOOKUP(B158,'[1]قائمة الاسعار'!$A:$I,9,0)</f>
        <v>34.65</v>
      </c>
      <c r="K158" s="4">
        <v>0</v>
      </c>
      <c r="L158">
        <v>0</v>
      </c>
      <c r="M158">
        <v>0</v>
      </c>
      <c r="N158" t="s">
        <v>687</v>
      </c>
    </row>
    <row r="159" spans="1:14" x14ac:dyDescent="0.25">
      <c r="A159">
        <v>0</v>
      </c>
      <c r="B159" s="3" t="s">
        <v>314</v>
      </c>
      <c r="C159" s="4" t="s">
        <v>315</v>
      </c>
      <c r="D159" s="4">
        <v>18</v>
      </c>
      <c r="E159" s="4">
        <v>18</v>
      </c>
      <c r="F159" s="4">
        <v>18</v>
      </c>
      <c r="G159" s="4">
        <v>18</v>
      </c>
      <c r="H159" s="4">
        <v>18</v>
      </c>
      <c r="I159" s="4">
        <v>18</v>
      </c>
      <c r="J159" s="4" t="str">
        <f>VLOOKUP(B159,'[1]قائمة الاسعار'!$A:$I,9,0)</f>
        <v>18.90</v>
      </c>
      <c r="K159" s="4">
        <v>0</v>
      </c>
      <c r="L159">
        <v>0</v>
      </c>
      <c r="M159">
        <v>0</v>
      </c>
      <c r="N159" t="s">
        <v>690</v>
      </c>
    </row>
    <row r="160" spans="1:14" x14ac:dyDescent="0.25">
      <c r="A160">
        <v>0</v>
      </c>
      <c r="B160" s="3" t="s">
        <v>316</v>
      </c>
      <c r="C160" s="4" t="s">
        <v>317</v>
      </c>
      <c r="D160" s="4">
        <v>20</v>
      </c>
      <c r="E160" s="4">
        <v>19</v>
      </c>
      <c r="F160" s="4">
        <v>18</v>
      </c>
      <c r="G160" s="4">
        <v>20</v>
      </c>
      <c r="H160" s="4">
        <v>19</v>
      </c>
      <c r="I160" s="4">
        <v>18</v>
      </c>
      <c r="J160" s="4" t="str">
        <f>VLOOKUP(B160,'[1]قائمة الاسعار'!$A:$I,9,0)</f>
        <v>18.90</v>
      </c>
      <c r="K160" s="4">
        <v>0</v>
      </c>
      <c r="L160">
        <v>0</v>
      </c>
      <c r="M160">
        <v>0</v>
      </c>
      <c r="N160" t="s">
        <v>691</v>
      </c>
    </row>
    <row r="161" spans="1:14" x14ac:dyDescent="0.25">
      <c r="A161">
        <v>0</v>
      </c>
      <c r="B161" s="3" t="s">
        <v>320</v>
      </c>
      <c r="C161" s="4" t="s">
        <v>321</v>
      </c>
      <c r="D161" s="4">
        <v>81.5</v>
      </c>
      <c r="E161" s="4">
        <v>81.5</v>
      </c>
      <c r="F161" s="4">
        <v>80</v>
      </c>
      <c r="G161" s="4">
        <v>81.5</v>
      </c>
      <c r="H161" s="4">
        <v>81.5</v>
      </c>
      <c r="I161" s="4">
        <v>80</v>
      </c>
      <c r="J161" s="4" t="str">
        <f>VLOOKUP(B161,'[1]قائمة الاسعار'!$A:$I,9,0)</f>
        <v>84.00</v>
      </c>
      <c r="K161" s="4">
        <v>0</v>
      </c>
      <c r="L161">
        <v>0</v>
      </c>
      <c r="M161">
        <v>0</v>
      </c>
      <c r="N161" t="s">
        <v>694</v>
      </c>
    </row>
    <row r="162" spans="1:14" x14ac:dyDescent="0.25">
      <c r="A162">
        <v>0</v>
      </c>
      <c r="B162" s="3" t="s">
        <v>322</v>
      </c>
      <c r="C162" s="4" t="s">
        <v>323</v>
      </c>
      <c r="D162" s="4">
        <v>151</v>
      </c>
      <c r="E162" s="4">
        <v>151</v>
      </c>
      <c r="F162" s="4">
        <v>148</v>
      </c>
      <c r="G162" s="4">
        <v>151</v>
      </c>
      <c r="H162" s="4">
        <v>151</v>
      </c>
      <c r="I162" s="4">
        <v>148</v>
      </c>
      <c r="J162" s="4" t="str">
        <f>VLOOKUP(B162,'[1]قائمة الاسعار'!$A:$I,9,0)</f>
        <v>155.40</v>
      </c>
      <c r="K162" s="4">
        <v>0</v>
      </c>
      <c r="L162">
        <v>0</v>
      </c>
      <c r="M162">
        <v>0</v>
      </c>
      <c r="N162" t="s">
        <v>695</v>
      </c>
    </row>
    <row r="163" spans="1:14" x14ac:dyDescent="0.25">
      <c r="A163">
        <v>0</v>
      </c>
      <c r="B163" s="3" t="s">
        <v>324</v>
      </c>
      <c r="C163" s="4" t="s">
        <v>325</v>
      </c>
      <c r="D163" s="4">
        <v>81.5</v>
      </c>
      <c r="E163" s="4">
        <v>81.5</v>
      </c>
      <c r="F163" s="4">
        <v>80</v>
      </c>
      <c r="G163" s="4">
        <v>81.5</v>
      </c>
      <c r="H163" s="4">
        <v>81.5</v>
      </c>
      <c r="I163" s="4">
        <v>80</v>
      </c>
      <c r="J163" s="4" t="str">
        <f>VLOOKUP(B163,'[1]قائمة الاسعار'!$A:$I,9,0)</f>
        <v>84.00</v>
      </c>
      <c r="K163" s="4">
        <v>0</v>
      </c>
      <c r="L163">
        <v>0</v>
      </c>
      <c r="M163">
        <v>0</v>
      </c>
      <c r="N163" t="s">
        <v>696</v>
      </c>
    </row>
    <row r="164" spans="1:14" x14ac:dyDescent="0.25">
      <c r="A164">
        <v>0</v>
      </c>
      <c r="B164" s="3" t="s">
        <v>326</v>
      </c>
      <c r="C164" s="4" t="s">
        <v>327</v>
      </c>
      <c r="D164" s="4">
        <v>151</v>
      </c>
      <c r="E164" s="4">
        <v>151</v>
      </c>
      <c r="F164" s="4">
        <v>148</v>
      </c>
      <c r="G164" s="4">
        <v>151</v>
      </c>
      <c r="H164" s="4">
        <v>151</v>
      </c>
      <c r="I164" s="4">
        <v>148</v>
      </c>
      <c r="J164" s="4" t="str">
        <f>VLOOKUP(B164,'[1]قائمة الاسعار'!$A:$I,9,0)</f>
        <v>155.40</v>
      </c>
      <c r="K164" s="4">
        <v>0</v>
      </c>
      <c r="L164">
        <v>0</v>
      </c>
      <c r="M164">
        <v>0</v>
      </c>
      <c r="N164" t="s">
        <v>697</v>
      </c>
    </row>
    <row r="165" spans="1:14" x14ac:dyDescent="0.25">
      <c r="A165">
        <v>0</v>
      </c>
      <c r="B165" s="3" t="s">
        <v>328</v>
      </c>
      <c r="C165" s="4" t="s">
        <v>329</v>
      </c>
      <c r="D165" s="4">
        <v>81.5</v>
      </c>
      <c r="E165" s="4">
        <v>81.5</v>
      </c>
      <c r="F165" s="4">
        <v>80</v>
      </c>
      <c r="G165" s="4">
        <v>81.5</v>
      </c>
      <c r="H165" s="4">
        <v>81.5</v>
      </c>
      <c r="I165" s="4">
        <v>80</v>
      </c>
      <c r="J165" s="4" t="str">
        <f>VLOOKUP(B165,'[1]قائمة الاسعار'!$A:$I,9,0)</f>
        <v>84.00</v>
      </c>
      <c r="K165" s="4">
        <v>0</v>
      </c>
      <c r="L165">
        <v>0</v>
      </c>
      <c r="M165">
        <v>0</v>
      </c>
      <c r="N165" t="s">
        <v>698</v>
      </c>
    </row>
    <row r="166" spans="1:14" x14ac:dyDescent="0.25">
      <c r="A166">
        <v>0</v>
      </c>
      <c r="B166" s="3" t="s">
        <v>330</v>
      </c>
      <c r="C166" s="4" t="s">
        <v>331</v>
      </c>
      <c r="D166" s="4">
        <v>151</v>
      </c>
      <c r="E166" s="4">
        <v>151</v>
      </c>
      <c r="F166" s="4">
        <v>148</v>
      </c>
      <c r="G166" s="4">
        <v>151</v>
      </c>
      <c r="H166" s="4">
        <v>151</v>
      </c>
      <c r="I166" s="4">
        <v>148</v>
      </c>
      <c r="J166" s="4" t="str">
        <f>VLOOKUP(B166,'[1]قائمة الاسعار'!$A:$I,9,0)</f>
        <v>155.40</v>
      </c>
      <c r="K166" s="4">
        <v>0</v>
      </c>
      <c r="L166">
        <v>0</v>
      </c>
      <c r="M166">
        <v>0</v>
      </c>
      <c r="N166" t="s">
        <v>699</v>
      </c>
    </row>
    <row r="167" spans="1:14" x14ac:dyDescent="0.25">
      <c r="A167">
        <v>0</v>
      </c>
      <c r="B167" s="3" t="s">
        <v>332</v>
      </c>
      <c r="C167" s="4" t="s">
        <v>333</v>
      </c>
      <c r="D167" s="4">
        <v>81.5</v>
      </c>
      <c r="E167" s="4">
        <v>81.5</v>
      </c>
      <c r="F167" s="4">
        <v>80</v>
      </c>
      <c r="G167" s="4">
        <v>81.5</v>
      </c>
      <c r="H167" s="4">
        <v>81.5</v>
      </c>
      <c r="I167" s="4">
        <v>80</v>
      </c>
      <c r="J167" s="4" t="str">
        <f>VLOOKUP(B167,'[1]قائمة الاسعار'!$A:$I,9,0)</f>
        <v>84.00</v>
      </c>
      <c r="K167" s="4">
        <v>0</v>
      </c>
      <c r="L167">
        <v>0</v>
      </c>
      <c r="M167">
        <v>0</v>
      </c>
      <c r="N167" t="s">
        <v>700</v>
      </c>
    </row>
    <row r="168" spans="1:14" x14ac:dyDescent="0.25">
      <c r="A168">
        <v>0</v>
      </c>
      <c r="B168" s="3" t="s">
        <v>334</v>
      </c>
      <c r="C168" s="4" t="s">
        <v>335</v>
      </c>
      <c r="D168" s="4">
        <v>165</v>
      </c>
      <c r="E168" s="4">
        <v>165</v>
      </c>
      <c r="F168" s="4">
        <v>155</v>
      </c>
      <c r="G168" s="4">
        <v>165</v>
      </c>
      <c r="H168" s="4">
        <v>165</v>
      </c>
      <c r="I168" s="4">
        <v>155</v>
      </c>
      <c r="J168" s="4" t="str">
        <f>VLOOKUP(B168,'[1]قائمة الاسعار'!$A:$I,9,0)</f>
        <v>162.75</v>
      </c>
      <c r="K168" s="4">
        <v>0</v>
      </c>
      <c r="L168">
        <v>0</v>
      </c>
      <c r="M168">
        <v>0</v>
      </c>
      <c r="N168" t="s">
        <v>701</v>
      </c>
    </row>
    <row r="169" spans="1:14" x14ac:dyDescent="0.25">
      <c r="A169">
        <v>0</v>
      </c>
      <c r="B169" s="3" t="s">
        <v>336</v>
      </c>
      <c r="C169" s="4" t="s">
        <v>337</v>
      </c>
      <c r="D169" s="4">
        <v>151</v>
      </c>
      <c r="E169" s="4">
        <v>151</v>
      </c>
      <c r="F169" s="4">
        <v>148</v>
      </c>
      <c r="G169" s="4">
        <v>151</v>
      </c>
      <c r="H169" s="4">
        <v>151</v>
      </c>
      <c r="I169" s="4">
        <v>148</v>
      </c>
      <c r="J169" s="4" t="str">
        <f>VLOOKUP(B169,'[1]قائمة الاسعار'!$A:$I,9,0)</f>
        <v>155.40</v>
      </c>
      <c r="K169" s="4">
        <v>0</v>
      </c>
      <c r="L169">
        <v>0</v>
      </c>
      <c r="M169">
        <v>0</v>
      </c>
      <c r="N169" t="s">
        <v>702</v>
      </c>
    </row>
    <row r="170" spans="1:14" x14ac:dyDescent="0.25">
      <c r="A170">
        <v>0</v>
      </c>
      <c r="B170" s="3" t="s">
        <v>338</v>
      </c>
      <c r="C170" s="4" t="s">
        <v>339</v>
      </c>
      <c r="D170" s="4">
        <v>19</v>
      </c>
      <c r="E170" s="4">
        <v>18</v>
      </c>
      <c r="F170" s="4">
        <v>17</v>
      </c>
      <c r="G170" s="4">
        <v>19</v>
      </c>
      <c r="H170" s="4">
        <v>18</v>
      </c>
      <c r="I170" s="4">
        <v>17</v>
      </c>
      <c r="J170" s="4" t="str">
        <f>VLOOKUP(B170,'[1]قائمة الاسعار'!$A:$I,9,0)</f>
        <v>17.85</v>
      </c>
      <c r="K170" s="4">
        <v>0</v>
      </c>
      <c r="L170">
        <v>0</v>
      </c>
      <c r="M170">
        <v>0</v>
      </c>
      <c r="N170" t="s">
        <v>703</v>
      </c>
    </row>
    <row r="171" spans="1:14" x14ac:dyDescent="0.25">
      <c r="A171">
        <v>0</v>
      </c>
      <c r="B171" s="3" t="s">
        <v>340</v>
      </c>
      <c r="C171" s="4" t="s">
        <v>341</v>
      </c>
      <c r="D171" s="4">
        <v>37</v>
      </c>
      <c r="E171" s="4">
        <v>35</v>
      </c>
      <c r="F171" s="4">
        <v>33</v>
      </c>
      <c r="G171" s="4">
        <v>37</v>
      </c>
      <c r="H171" s="4">
        <v>35</v>
      </c>
      <c r="I171" s="4">
        <v>33</v>
      </c>
      <c r="J171" s="4" t="str">
        <f>VLOOKUP(B171,'[1]قائمة الاسعار'!$A:$I,9,0)</f>
        <v>34.65</v>
      </c>
      <c r="K171" s="4">
        <v>0</v>
      </c>
      <c r="L171">
        <v>0</v>
      </c>
      <c r="M171">
        <v>0</v>
      </c>
      <c r="N171" t="s">
        <v>704</v>
      </c>
    </row>
    <row r="172" spans="1:14" x14ac:dyDescent="0.25">
      <c r="A172">
        <v>0</v>
      </c>
      <c r="B172" s="3" t="s">
        <v>342</v>
      </c>
      <c r="C172" s="4" t="s">
        <v>343</v>
      </c>
      <c r="D172" s="4">
        <v>34.159999999999997</v>
      </c>
      <c r="E172" s="4">
        <v>34.159999999999997</v>
      </c>
      <c r="F172" s="4">
        <v>33.6</v>
      </c>
      <c r="G172" s="4">
        <v>34.159999999999997</v>
      </c>
      <c r="H172" s="4">
        <v>34.159999999999997</v>
      </c>
      <c r="I172" s="4">
        <v>33.6</v>
      </c>
      <c r="J172" s="4" t="str">
        <f>VLOOKUP(B172,'[1]قائمة الاسعار'!$A:$I,9,0)</f>
        <v>35.28</v>
      </c>
      <c r="K172" s="4">
        <v>0</v>
      </c>
      <c r="L172">
        <v>0</v>
      </c>
      <c r="M172">
        <v>0</v>
      </c>
      <c r="N172" t="s">
        <v>705</v>
      </c>
    </row>
    <row r="173" spans="1:14" x14ac:dyDescent="0.25">
      <c r="A173">
        <v>0</v>
      </c>
      <c r="B173" s="3" t="s">
        <v>344</v>
      </c>
      <c r="C173" s="4" t="s">
        <v>345</v>
      </c>
      <c r="D173" s="4">
        <v>18.3</v>
      </c>
      <c r="E173" s="4">
        <v>18.3</v>
      </c>
      <c r="F173" s="4">
        <v>18</v>
      </c>
      <c r="G173" s="4">
        <v>18.3</v>
      </c>
      <c r="H173" s="4">
        <v>18.3</v>
      </c>
      <c r="I173" s="4">
        <v>18</v>
      </c>
      <c r="J173" s="4" t="str">
        <f>VLOOKUP(B173,'[1]قائمة الاسعار'!$A:$I,9,0)</f>
        <v>18.90</v>
      </c>
      <c r="K173" s="4">
        <v>0</v>
      </c>
      <c r="L173">
        <v>0</v>
      </c>
      <c r="M173">
        <v>0</v>
      </c>
      <c r="N173" t="s">
        <v>706</v>
      </c>
    </row>
    <row r="174" spans="1:14" x14ac:dyDescent="0.25">
      <c r="A174">
        <v>0</v>
      </c>
      <c r="B174" s="3" t="s">
        <v>346</v>
      </c>
      <c r="C174" s="4" t="s">
        <v>347</v>
      </c>
      <c r="D174" s="4">
        <v>22</v>
      </c>
      <c r="E174" s="4">
        <v>21.6</v>
      </c>
      <c r="F174" s="4">
        <v>21.6</v>
      </c>
      <c r="G174" s="4">
        <v>22</v>
      </c>
      <c r="H174" s="4">
        <v>21.6</v>
      </c>
      <c r="I174" s="4">
        <v>21.6</v>
      </c>
      <c r="J174" s="4" t="str">
        <f>VLOOKUP(B174,'[1]قائمة الاسعار'!$A:$I,9,0)</f>
        <v>22.68</v>
      </c>
      <c r="K174" s="4">
        <v>0</v>
      </c>
      <c r="L174">
        <v>0</v>
      </c>
      <c r="M174">
        <v>0</v>
      </c>
      <c r="N174" t="s">
        <v>707</v>
      </c>
    </row>
    <row r="175" spans="1:14" x14ac:dyDescent="0.25">
      <c r="A175">
        <v>0</v>
      </c>
      <c r="B175" s="3" t="s">
        <v>350</v>
      </c>
      <c r="C175" s="4" t="s">
        <v>351</v>
      </c>
      <c r="D175" s="4">
        <v>71</v>
      </c>
      <c r="E175" s="4">
        <v>69</v>
      </c>
      <c r="F175" s="4">
        <v>67</v>
      </c>
      <c r="G175" s="4">
        <v>71</v>
      </c>
      <c r="H175" s="4">
        <v>69</v>
      </c>
      <c r="I175" s="4">
        <v>67</v>
      </c>
      <c r="J175" s="4" t="str">
        <f>VLOOKUP(B175,'[1]قائمة الاسعار'!$A:$I,9,0)</f>
        <v>70.35</v>
      </c>
      <c r="K175" s="4">
        <v>0</v>
      </c>
      <c r="L175">
        <v>0</v>
      </c>
      <c r="M175">
        <v>0</v>
      </c>
      <c r="N175" t="s">
        <v>709</v>
      </c>
    </row>
    <row r="176" spans="1:14" x14ac:dyDescent="0.25">
      <c r="A176">
        <v>0</v>
      </c>
      <c r="B176" s="3" t="s">
        <v>352</v>
      </c>
      <c r="C176" s="4" t="s">
        <v>353</v>
      </c>
      <c r="D176" s="4">
        <v>71</v>
      </c>
      <c r="E176" s="4">
        <v>69</v>
      </c>
      <c r="F176" s="4">
        <v>67</v>
      </c>
      <c r="G176" s="4">
        <v>71</v>
      </c>
      <c r="H176" s="4">
        <v>69</v>
      </c>
      <c r="I176" s="4">
        <v>67</v>
      </c>
      <c r="J176" s="4" t="str">
        <f>VLOOKUP(B176,'[1]قائمة الاسعار'!$A:$I,9,0)</f>
        <v>70.35</v>
      </c>
      <c r="K176" s="4">
        <v>0</v>
      </c>
      <c r="L176">
        <v>0</v>
      </c>
      <c r="M176">
        <v>0</v>
      </c>
      <c r="N176" t="s">
        <v>710</v>
      </c>
    </row>
    <row r="177" spans="1:14" x14ac:dyDescent="0.25">
      <c r="A177">
        <v>0</v>
      </c>
      <c r="B177" s="3" t="s">
        <v>354</v>
      </c>
      <c r="C177" s="4" t="s">
        <v>355</v>
      </c>
      <c r="D177" s="4">
        <v>85</v>
      </c>
      <c r="E177" s="4">
        <v>85</v>
      </c>
      <c r="F177" s="4">
        <v>80</v>
      </c>
      <c r="G177" s="4">
        <v>85</v>
      </c>
      <c r="H177" s="4">
        <v>85</v>
      </c>
      <c r="I177" s="4">
        <v>80</v>
      </c>
      <c r="J177" s="4" t="str">
        <f>VLOOKUP(B177,'[1]قائمة الاسعار'!$A:$I,9,0)</f>
        <v>84.00</v>
      </c>
      <c r="K177" s="4">
        <v>0</v>
      </c>
      <c r="L177">
        <v>0</v>
      </c>
      <c r="M177">
        <v>0</v>
      </c>
      <c r="N177" t="s">
        <v>711</v>
      </c>
    </row>
    <row r="178" spans="1:14" x14ac:dyDescent="0.25">
      <c r="A178">
        <v>0</v>
      </c>
      <c r="B178" s="3" t="s">
        <v>356</v>
      </c>
      <c r="C178" s="4" t="s">
        <v>357</v>
      </c>
      <c r="D178" s="4">
        <v>79.3</v>
      </c>
      <c r="E178" s="4">
        <v>79.3</v>
      </c>
      <c r="F178" s="4">
        <v>78</v>
      </c>
      <c r="G178" s="4">
        <v>79.3</v>
      </c>
      <c r="H178" s="4">
        <v>79.3</v>
      </c>
      <c r="I178" s="4">
        <v>78</v>
      </c>
      <c r="J178" s="4" t="str">
        <f>VLOOKUP(B178,'[1]قائمة الاسعار'!$A:$I,9,0)</f>
        <v>81.90</v>
      </c>
      <c r="K178" s="4">
        <v>0</v>
      </c>
      <c r="L178">
        <v>0</v>
      </c>
      <c r="M178">
        <v>0</v>
      </c>
      <c r="N178" t="s">
        <v>712</v>
      </c>
    </row>
    <row r="179" spans="1:14" x14ac:dyDescent="0.25">
      <c r="A179">
        <v>0</v>
      </c>
      <c r="B179" s="3" t="s">
        <v>358</v>
      </c>
      <c r="C179" s="4" t="s">
        <v>359</v>
      </c>
      <c r="D179" s="4">
        <v>32.33</v>
      </c>
      <c r="E179" s="4">
        <v>32.33</v>
      </c>
      <c r="F179" s="4">
        <v>31.8</v>
      </c>
      <c r="G179" s="4">
        <v>32.33</v>
      </c>
      <c r="H179" s="4">
        <v>32.33</v>
      </c>
      <c r="I179" s="4">
        <v>31.8</v>
      </c>
      <c r="J179" s="4" t="str">
        <f>VLOOKUP(B179,'[1]قائمة الاسعار'!$A:$I,9,0)</f>
        <v>33.39</v>
      </c>
      <c r="K179" s="4">
        <v>0</v>
      </c>
      <c r="L179">
        <v>0</v>
      </c>
      <c r="M179">
        <v>0</v>
      </c>
      <c r="N179" t="s">
        <v>713</v>
      </c>
    </row>
    <row r="180" spans="1:14" x14ac:dyDescent="0.25">
      <c r="A180">
        <v>0</v>
      </c>
      <c r="B180" s="3" t="s">
        <v>360</v>
      </c>
      <c r="C180" s="4" t="s">
        <v>361</v>
      </c>
      <c r="D180" s="4">
        <v>32.33</v>
      </c>
      <c r="E180" s="4">
        <v>32.33</v>
      </c>
      <c r="F180" s="4">
        <v>31.8</v>
      </c>
      <c r="G180" s="4">
        <v>32.33</v>
      </c>
      <c r="H180" s="4">
        <v>32.33</v>
      </c>
      <c r="I180" s="4">
        <v>31.8</v>
      </c>
      <c r="J180" s="4" t="str">
        <f>VLOOKUP(B180,'[1]قائمة الاسعار'!$A:$I,9,0)</f>
        <v>33.39</v>
      </c>
      <c r="K180" s="4">
        <v>0</v>
      </c>
      <c r="L180">
        <v>0</v>
      </c>
      <c r="M180">
        <v>0</v>
      </c>
      <c r="N180" t="s">
        <v>714</v>
      </c>
    </row>
    <row r="181" spans="1:14" x14ac:dyDescent="0.25">
      <c r="A181">
        <v>0</v>
      </c>
      <c r="B181" s="3" t="s">
        <v>362</v>
      </c>
      <c r="C181" s="4" t="s">
        <v>363</v>
      </c>
      <c r="D181" s="4">
        <v>32.33</v>
      </c>
      <c r="E181" s="4">
        <v>32.33</v>
      </c>
      <c r="F181" s="4">
        <v>31.8</v>
      </c>
      <c r="G181" s="4">
        <v>32.33</v>
      </c>
      <c r="H181" s="4">
        <v>32.33</v>
      </c>
      <c r="I181" s="4">
        <v>31.8</v>
      </c>
      <c r="J181" s="4" t="str">
        <f>VLOOKUP(B181,'[1]قائمة الاسعار'!$A:$I,9,0)</f>
        <v>33.39</v>
      </c>
      <c r="K181" s="4">
        <v>0</v>
      </c>
      <c r="L181">
        <v>0</v>
      </c>
      <c r="M181">
        <v>0</v>
      </c>
      <c r="N181" t="s">
        <v>715</v>
      </c>
    </row>
    <row r="182" spans="1:14" x14ac:dyDescent="0.25">
      <c r="A182">
        <v>0</v>
      </c>
      <c r="B182" s="3" t="s">
        <v>364</v>
      </c>
      <c r="C182" s="4" t="s">
        <v>365</v>
      </c>
      <c r="D182" s="4">
        <v>65</v>
      </c>
      <c r="E182" s="4">
        <v>65</v>
      </c>
      <c r="F182" s="4">
        <v>60</v>
      </c>
      <c r="G182" s="4">
        <v>65</v>
      </c>
      <c r="H182" s="4">
        <v>65</v>
      </c>
      <c r="I182" s="4">
        <v>60</v>
      </c>
      <c r="J182" s="4" t="str">
        <f>VLOOKUP(B182,'[1]قائمة الاسعار'!$A:$I,9,0)</f>
        <v>63.00</v>
      </c>
      <c r="K182" s="4">
        <v>0</v>
      </c>
      <c r="L182">
        <v>0</v>
      </c>
      <c r="M182">
        <v>0</v>
      </c>
      <c r="N182" t="s">
        <v>716</v>
      </c>
    </row>
    <row r="183" spans="1:14" x14ac:dyDescent="0.25">
      <c r="A183">
        <v>0</v>
      </c>
      <c r="B183" s="3" t="s">
        <v>366</v>
      </c>
      <c r="C183" s="4" t="s">
        <v>367</v>
      </c>
      <c r="D183" s="4">
        <v>19</v>
      </c>
      <c r="E183" s="4">
        <v>17.5</v>
      </c>
      <c r="F183" s="4">
        <v>17.5</v>
      </c>
      <c r="G183" s="4">
        <v>19</v>
      </c>
      <c r="H183" s="4">
        <v>17.5</v>
      </c>
      <c r="I183" s="4">
        <v>17.5</v>
      </c>
      <c r="J183" s="4" t="str">
        <f>VLOOKUP(B183,'[1]قائمة الاسعار'!$A:$I,9,0)</f>
        <v>18.38</v>
      </c>
      <c r="K183" s="4">
        <v>0</v>
      </c>
      <c r="L183">
        <v>0</v>
      </c>
      <c r="M183">
        <v>0</v>
      </c>
      <c r="N183" t="s">
        <v>717</v>
      </c>
    </row>
    <row r="184" spans="1:14" x14ac:dyDescent="0.25">
      <c r="A184">
        <v>0</v>
      </c>
      <c r="B184" s="3" t="s">
        <v>368</v>
      </c>
      <c r="C184" s="4" t="s">
        <v>369</v>
      </c>
      <c r="D184" s="4">
        <v>52</v>
      </c>
      <c r="E184" s="4">
        <v>50</v>
      </c>
      <c r="F184" s="4">
        <v>50</v>
      </c>
      <c r="G184" s="4">
        <v>52</v>
      </c>
      <c r="H184" s="4">
        <v>50</v>
      </c>
      <c r="I184" s="4">
        <v>50</v>
      </c>
      <c r="J184" s="4" t="str">
        <f>VLOOKUP(B184,'[1]قائمة الاسعار'!$A:$I,9,0)</f>
        <v>52.50</v>
      </c>
      <c r="K184" s="4">
        <v>0</v>
      </c>
      <c r="L184">
        <v>0</v>
      </c>
      <c r="M184">
        <v>0</v>
      </c>
      <c r="N184" t="s">
        <v>718</v>
      </c>
    </row>
    <row r="185" spans="1:14" x14ac:dyDescent="0.25">
      <c r="A185">
        <v>0</v>
      </c>
      <c r="B185" s="3" t="s">
        <v>370</v>
      </c>
      <c r="C185" s="4" t="s">
        <v>371</v>
      </c>
      <c r="D185" s="4">
        <v>18</v>
      </c>
      <c r="E185" s="4">
        <v>18</v>
      </c>
      <c r="F185" s="4">
        <v>18</v>
      </c>
      <c r="G185" s="4">
        <v>18</v>
      </c>
      <c r="H185" s="4">
        <v>18</v>
      </c>
      <c r="I185" s="4">
        <v>18</v>
      </c>
      <c r="J185" s="4" t="str">
        <f>VLOOKUP(B185,'[1]قائمة الاسعار'!$A:$I,9,0)</f>
        <v>18.90</v>
      </c>
      <c r="K185" s="4">
        <v>0</v>
      </c>
      <c r="L185">
        <v>0</v>
      </c>
      <c r="M185">
        <v>0</v>
      </c>
      <c r="N185" t="s">
        <v>719</v>
      </c>
    </row>
    <row r="186" spans="1:14" x14ac:dyDescent="0.25">
      <c r="A186">
        <v>0</v>
      </c>
      <c r="B186" s="3" t="s">
        <v>372</v>
      </c>
      <c r="C186" s="4" t="s">
        <v>373</v>
      </c>
      <c r="D186" s="4">
        <v>40</v>
      </c>
      <c r="E186" s="4">
        <v>39</v>
      </c>
      <c r="F186" s="4">
        <v>38</v>
      </c>
      <c r="G186" s="4">
        <v>40</v>
      </c>
      <c r="H186" s="4">
        <v>39</v>
      </c>
      <c r="I186" s="4">
        <v>38</v>
      </c>
      <c r="J186" s="4" t="str">
        <f>VLOOKUP(B186,'[1]قائمة الاسعار'!$A:$I,9,0)</f>
        <v>39.90</v>
      </c>
      <c r="K186" s="4">
        <v>0</v>
      </c>
      <c r="L186">
        <v>0</v>
      </c>
      <c r="M186">
        <v>0</v>
      </c>
      <c r="N186" t="s">
        <v>373</v>
      </c>
    </row>
    <row r="187" spans="1:14" x14ac:dyDescent="0.25">
      <c r="A187">
        <v>0</v>
      </c>
      <c r="B187" s="3" t="s">
        <v>374</v>
      </c>
      <c r="C187" s="4" t="s">
        <v>375</v>
      </c>
      <c r="D187" s="4">
        <v>43</v>
      </c>
      <c r="E187" s="4">
        <v>41</v>
      </c>
      <c r="F187" s="4">
        <v>41</v>
      </c>
      <c r="G187" s="4">
        <v>43</v>
      </c>
      <c r="H187" s="4">
        <v>41</v>
      </c>
      <c r="I187" s="4">
        <v>41</v>
      </c>
      <c r="J187" s="4" t="str">
        <f>VLOOKUP(B187,'[1]قائمة الاسعار'!$A:$I,9,0)</f>
        <v>43.05</v>
      </c>
      <c r="K187" s="4">
        <v>0</v>
      </c>
      <c r="L187">
        <v>0</v>
      </c>
      <c r="M187">
        <v>0</v>
      </c>
      <c r="N187" t="s">
        <v>720</v>
      </c>
    </row>
    <row r="188" spans="1:14" x14ac:dyDescent="0.25">
      <c r="A188">
        <v>0</v>
      </c>
      <c r="B188" s="3" t="s">
        <v>376</v>
      </c>
      <c r="C188" s="4" t="s">
        <v>377</v>
      </c>
      <c r="D188" s="4">
        <v>99</v>
      </c>
      <c r="E188" s="4">
        <v>98</v>
      </c>
      <c r="F188" s="4">
        <v>97</v>
      </c>
      <c r="G188" s="4">
        <v>99</v>
      </c>
      <c r="H188" s="4">
        <v>97</v>
      </c>
      <c r="I188" s="4">
        <v>97</v>
      </c>
      <c r="J188" s="4" t="str">
        <f>VLOOKUP(B188,'[1]قائمة الاسعار'!$A:$I,9,0)</f>
        <v>101.50</v>
      </c>
      <c r="K188" s="4">
        <v>0</v>
      </c>
      <c r="L188">
        <v>0</v>
      </c>
      <c r="M188">
        <v>0</v>
      </c>
      <c r="N188" t="s">
        <v>721</v>
      </c>
    </row>
    <row r="189" spans="1:14" x14ac:dyDescent="0.25">
      <c r="A189">
        <v>0</v>
      </c>
      <c r="B189" s="3" t="s">
        <v>378</v>
      </c>
      <c r="C189" s="4" t="s">
        <v>379</v>
      </c>
      <c r="D189" s="4">
        <v>43</v>
      </c>
      <c r="E189" s="4">
        <v>41</v>
      </c>
      <c r="F189" s="4">
        <v>41</v>
      </c>
      <c r="G189" s="4">
        <v>43</v>
      </c>
      <c r="H189" s="4">
        <v>41</v>
      </c>
      <c r="I189" s="4">
        <v>41</v>
      </c>
      <c r="J189" s="4" t="str">
        <f>VLOOKUP(B189,'[1]قائمة الاسعار'!$A:$I,9,0)</f>
        <v>43.05</v>
      </c>
      <c r="K189" s="4">
        <v>0</v>
      </c>
      <c r="L189">
        <v>0</v>
      </c>
      <c r="M189">
        <v>0</v>
      </c>
      <c r="N189" t="s">
        <v>722</v>
      </c>
    </row>
    <row r="190" spans="1:14" x14ac:dyDescent="0.25">
      <c r="A190">
        <v>0</v>
      </c>
      <c r="B190" s="3" t="s">
        <v>380</v>
      </c>
      <c r="C190" s="4" t="s">
        <v>381</v>
      </c>
      <c r="D190" s="4">
        <v>93</v>
      </c>
      <c r="E190" s="4">
        <v>91</v>
      </c>
      <c r="F190" s="4">
        <v>91</v>
      </c>
      <c r="G190" s="4">
        <v>93</v>
      </c>
      <c r="H190" s="4">
        <v>91</v>
      </c>
      <c r="I190" s="4">
        <v>91</v>
      </c>
      <c r="J190" s="4" t="str">
        <f>VLOOKUP(B190,'[1]قائمة الاسعار'!$A:$I,9,0)</f>
        <v>95.55</v>
      </c>
      <c r="K190" s="4">
        <v>0</v>
      </c>
      <c r="L190">
        <v>0</v>
      </c>
      <c r="M190">
        <v>0</v>
      </c>
      <c r="N190" t="s">
        <v>723</v>
      </c>
    </row>
    <row r="191" spans="1:14" x14ac:dyDescent="0.25">
      <c r="A191">
        <v>0</v>
      </c>
      <c r="B191" s="3" t="s">
        <v>382</v>
      </c>
      <c r="C191" s="4" t="s">
        <v>383</v>
      </c>
      <c r="D191" s="4">
        <v>93</v>
      </c>
      <c r="E191" s="4">
        <v>91</v>
      </c>
      <c r="F191" s="4">
        <v>91</v>
      </c>
      <c r="G191" s="4">
        <v>93</v>
      </c>
      <c r="H191" s="4">
        <v>91</v>
      </c>
      <c r="I191" s="4">
        <v>91</v>
      </c>
      <c r="J191" s="4" t="str">
        <f>VLOOKUP(B191,'[1]قائمة الاسعار'!$A:$I,9,0)</f>
        <v>95.55</v>
      </c>
      <c r="K191" s="4">
        <v>0</v>
      </c>
      <c r="L191">
        <v>0</v>
      </c>
      <c r="M191">
        <v>0</v>
      </c>
      <c r="N191" t="s">
        <v>724</v>
      </c>
    </row>
    <row r="192" spans="1:14" x14ac:dyDescent="0.25">
      <c r="A192">
        <v>0</v>
      </c>
      <c r="B192" s="3" t="s">
        <v>384</v>
      </c>
      <c r="C192" s="4" t="s">
        <v>385</v>
      </c>
      <c r="D192" s="4">
        <v>46</v>
      </c>
      <c r="E192" s="4">
        <v>45</v>
      </c>
      <c r="F192" s="4">
        <v>45</v>
      </c>
      <c r="G192" s="4">
        <v>46</v>
      </c>
      <c r="H192" s="4">
        <v>45</v>
      </c>
      <c r="I192" s="4">
        <v>45</v>
      </c>
      <c r="J192" s="4" t="str">
        <f>VLOOKUP(B192,'[1]قائمة الاسعار'!$A:$I,9,0)</f>
        <v>47.25</v>
      </c>
      <c r="K192" s="4">
        <v>0</v>
      </c>
      <c r="L192">
        <v>0</v>
      </c>
      <c r="M192">
        <v>0</v>
      </c>
      <c r="N192" t="s">
        <v>725</v>
      </c>
    </row>
    <row r="193" spans="1:14" x14ac:dyDescent="0.25">
      <c r="A193">
        <v>0</v>
      </c>
      <c r="B193" s="3" t="s">
        <v>386</v>
      </c>
      <c r="C193" s="4" t="s">
        <v>387</v>
      </c>
      <c r="D193" s="4">
        <v>89</v>
      </c>
      <c r="E193" s="4">
        <v>88</v>
      </c>
      <c r="F193" s="4">
        <v>88</v>
      </c>
      <c r="G193" s="4">
        <v>89</v>
      </c>
      <c r="H193" s="4">
        <v>88</v>
      </c>
      <c r="I193" s="4">
        <v>88</v>
      </c>
      <c r="J193" s="4" t="str">
        <f>VLOOKUP(B193,'[1]قائمة الاسعار'!$A:$I,9,0)</f>
        <v>92.40</v>
      </c>
      <c r="K193" s="4">
        <v>0</v>
      </c>
      <c r="L193">
        <v>0</v>
      </c>
      <c r="M193">
        <v>0</v>
      </c>
      <c r="N193" t="s">
        <v>726</v>
      </c>
    </row>
    <row r="194" spans="1:14" x14ac:dyDescent="0.25">
      <c r="A194">
        <v>0</v>
      </c>
      <c r="B194" s="3" t="s">
        <v>388</v>
      </c>
      <c r="C194" s="4" t="s">
        <v>389</v>
      </c>
      <c r="D194" s="4">
        <v>97</v>
      </c>
      <c r="E194" s="4">
        <v>94</v>
      </c>
      <c r="F194" s="4">
        <v>93</v>
      </c>
      <c r="G194" s="4">
        <v>97</v>
      </c>
      <c r="H194" s="4">
        <v>94</v>
      </c>
      <c r="I194" s="4">
        <v>93</v>
      </c>
      <c r="J194" s="4" t="str">
        <f>VLOOKUP(B194,'[1]قائمة الاسعار'!$A:$I,9,0)</f>
        <v>97.65</v>
      </c>
      <c r="K194" s="4">
        <v>0</v>
      </c>
      <c r="L194">
        <v>0</v>
      </c>
      <c r="M194">
        <v>0</v>
      </c>
      <c r="N194" t="s">
        <v>727</v>
      </c>
    </row>
    <row r="195" spans="1:14" x14ac:dyDescent="0.25">
      <c r="A195">
        <v>0</v>
      </c>
      <c r="B195" s="3" t="s">
        <v>390</v>
      </c>
      <c r="C195" s="4" t="s">
        <v>391</v>
      </c>
      <c r="D195" s="4">
        <v>30</v>
      </c>
      <c r="E195" s="4">
        <v>29.5</v>
      </c>
      <c r="F195" s="4">
        <v>29.5</v>
      </c>
      <c r="G195" s="4">
        <v>30</v>
      </c>
      <c r="H195" s="4">
        <v>29.5</v>
      </c>
      <c r="I195" s="4">
        <v>29.5</v>
      </c>
      <c r="J195" s="4" t="str">
        <f>VLOOKUP(B195,'[1]قائمة الاسعار'!$A:$I,9,0)</f>
        <v>30.97</v>
      </c>
      <c r="K195" s="4">
        <v>0</v>
      </c>
      <c r="L195">
        <v>0</v>
      </c>
      <c r="M195">
        <v>0</v>
      </c>
      <c r="N195" t="s">
        <v>728</v>
      </c>
    </row>
    <row r="196" spans="1:14" x14ac:dyDescent="0.25">
      <c r="A196">
        <v>0</v>
      </c>
      <c r="B196" s="3" t="s">
        <v>392</v>
      </c>
      <c r="C196" s="4" t="s">
        <v>393</v>
      </c>
      <c r="D196" s="4">
        <v>91</v>
      </c>
      <c r="E196" s="4">
        <v>88</v>
      </c>
      <c r="F196" s="4">
        <v>87</v>
      </c>
      <c r="G196" s="4">
        <v>91</v>
      </c>
      <c r="H196" s="4">
        <v>88</v>
      </c>
      <c r="I196" s="4">
        <v>87</v>
      </c>
      <c r="J196" s="4" t="str">
        <f>VLOOKUP(B196,'[1]قائمة الاسعار'!$A:$I,9,0)</f>
        <v>91.35</v>
      </c>
      <c r="K196" s="4">
        <v>0</v>
      </c>
      <c r="L196">
        <v>0</v>
      </c>
      <c r="M196">
        <v>0</v>
      </c>
      <c r="N196" t="s">
        <v>729</v>
      </c>
    </row>
    <row r="197" spans="1:14" x14ac:dyDescent="0.25">
      <c r="A197">
        <v>0</v>
      </c>
      <c r="B197" s="3" t="s">
        <v>394</v>
      </c>
      <c r="C197" s="4" t="s">
        <v>395</v>
      </c>
      <c r="D197" s="4">
        <v>66</v>
      </c>
      <c r="E197" s="4">
        <v>65</v>
      </c>
      <c r="F197" s="4">
        <v>65</v>
      </c>
      <c r="G197" s="4">
        <v>66</v>
      </c>
      <c r="H197" s="4">
        <v>65</v>
      </c>
      <c r="I197" s="4">
        <v>65</v>
      </c>
      <c r="J197" s="4" t="str">
        <f>VLOOKUP(B197,'[1]قائمة الاسعار'!$A:$I,9,0)</f>
        <v>68.25</v>
      </c>
      <c r="K197" s="4">
        <v>0</v>
      </c>
      <c r="L197">
        <v>0</v>
      </c>
      <c r="M197">
        <v>0</v>
      </c>
      <c r="N197" t="s">
        <v>730</v>
      </c>
    </row>
    <row r="198" spans="1:14" x14ac:dyDescent="0.25">
      <c r="A198">
        <v>0</v>
      </c>
      <c r="B198" s="3" t="s">
        <v>396</v>
      </c>
      <c r="C198" s="4" t="s">
        <v>397</v>
      </c>
      <c r="D198" s="4">
        <v>102</v>
      </c>
      <c r="E198" s="4">
        <v>102</v>
      </c>
      <c r="F198" s="4">
        <v>102</v>
      </c>
      <c r="G198" s="4">
        <v>102</v>
      </c>
      <c r="H198" s="4">
        <v>102</v>
      </c>
      <c r="I198" s="4">
        <v>102</v>
      </c>
      <c r="J198" s="4" t="str">
        <f>VLOOKUP(B198,'[1]قائمة الاسعار'!$A:$I,9,0)</f>
        <v>107.10</v>
      </c>
      <c r="K198" s="4">
        <v>0</v>
      </c>
      <c r="L198">
        <v>0</v>
      </c>
      <c r="M198">
        <v>0</v>
      </c>
      <c r="N198" t="s">
        <v>731</v>
      </c>
    </row>
    <row r="199" spans="1:14" x14ac:dyDescent="0.25">
      <c r="A199">
        <v>0</v>
      </c>
      <c r="B199" s="3" t="s">
        <v>398</v>
      </c>
      <c r="C199" s="4" t="s">
        <v>399</v>
      </c>
      <c r="D199" s="4">
        <v>52</v>
      </c>
      <c r="E199" s="4">
        <v>50</v>
      </c>
      <c r="F199" s="4">
        <v>48</v>
      </c>
      <c r="G199" s="4">
        <v>52</v>
      </c>
      <c r="H199" s="4">
        <v>50</v>
      </c>
      <c r="I199" s="4">
        <v>48</v>
      </c>
      <c r="J199" s="4" t="str">
        <f>VLOOKUP(B199,'[1]قائمة الاسعار'!$A:$I,9,0)</f>
        <v>50.40</v>
      </c>
      <c r="K199" s="4">
        <v>0</v>
      </c>
      <c r="L199">
        <v>0</v>
      </c>
      <c r="M199">
        <v>0</v>
      </c>
      <c r="N199" t="s">
        <v>732</v>
      </c>
    </row>
    <row r="200" spans="1:14" x14ac:dyDescent="0.25">
      <c r="A200">
        <v>0</v>
      </c>
      <c r="B200" s="3" t="s">
        <v>400</v>
      </c>
      <c r="C200" s="4" t="s">
        <v>401</v>
      </c>
      <c r="D200" s="4">
        <v>110</v>
      </c>
      <c r="E200" s="4">
        <v>108</v>
      </c>
      <c r="F200" s="4">
        <v>107</v>
      </c>
      <c r="G200" s="4">
        <v>110</v>
      </c>
      <c r="H200" s="4">
        <v>108</v>
      </c>
      <c r="I200" s="4">
        <v>107</v>
      </c>
      <c r="J200" s="4" t="str">
        <f>VLOOKUP(B200,'[1]قائمة الاسعار'!$A:$I,9,0)</f>
        <v>112.35</v>
      </c>
      <c r="K200" s="4">
        <v>0</v>
      </c>
      <c r="L200">
        <v>0</v>
      </c>
      <c r="M200">
        <v>0</v>
      </c>
      <c r="N200" t="s">
        <v>733</v>
      </c>
    </row>
    <row r="201" spans="1:14" x14ac:dyDescent="0.25">
      <c r="A201">
        <v>0</v>
      </c>
      <c r="B201" s="3" t="s">
        <v>402</v>
      </c>
      <c r="C201" s="4" t="s">
        <v>403</v>
      </c>
      <c r="D201" s="4">
        <v>110</v>
      </c>
      <c r="E201" s="4">
        <v>108</v>
      </c>
      <c r="F201" s="4">
        <v>107</v>
      </c>
      <c r="G201" s="4">
        <v>110</v>
      </c>
      <c r="H201" s="4">
        <v>108</v>
      </c>
      <c r="I201" s="4">
        <v>107</v>
      </c>
      <c r="J201" s="4" t="str">
        <f>VLOOKUP(B201,'[1]قائمة الاسعار'!$A:$I,9,0)</f>
        <v>112.35</v>
      </c>
      <c r="K201" s="4">
        <v>0</v>
      </c>
      <c r="L201">
        <v>0</v>
      </c>
      <c r="M201">
        <v>0</v>
      </c>
      <c r="N201" t="s">
        <v>734</v>
      </c>
    </row>
    <row r="202" spans="1:14" x14ac:dyDescent="0.25">
      <c r="A202">
        <v>0</v>
      </c>
      <c r="B202" s="3" t="s">
        <v>404</v>
      </c>
      <c r="C202" s="4" t="s">
        <v>405</v>
      </c>
      <c r="D202" s="4">
        <v>50</v>
      </c>
      <c r="E202" s="4">
        <v>49</v>
      </c>
      <c r="F202" s="4">
        <v>48</v>
      </c>
      <c r="G202" s="4">
        <v>50</v>
      </c>
      <c r="H202" s="4">
        <v>49</v>
      </c>
      <c r="I202" s="4">
        <v>48</v>
      </c>
      <c r="J202" s="4" t="str">
        <f>VLOOKUP(B202,'[1]قائمة الاسعار'!$A:$I,9,0)</f>
        <v>50.40</v>
      </c>
      <c r="K202" s="4">
        <v>0</v>
      </c>
      <c r="L202">
        <v>0</v>
      </c>
      <c r="M202">
        <v>0</v>
      </c>
      <c r="N202" t="s">
        <v>735</v>
      </c>
    </row>
    <row r="203" spans="1:14" x14ac:dyDescent="0.25">
      <c r="A203">
        <v>0</v>
      </c>
      <c r="B203" s="3" t="s">
        <v>406</v>
      </c>
      <c r="C203" s="4" t="s">
        <v>407</v>
      </c>
      <c r="D203" s="4">
        <v>37</v>
      </c>
      <c r="E203" s="4">
        <v>37</v>
      </c>
      <c r="F203" s="4">
        <v>37</v>
      </c>
      <c r="G203" s="4">
        <v>37</v>
      </c>
      <c r="H203" s="4">
        <v>37</v>
      </c>
      <c r="I203" s="4">
        <v>37</v>
      </c>
      <c r="J203" s="4" t="str">
        <f>VLOOKUP(B203,'[1]قائمة الاسعار'!$A:$I,9,0)</f>
        <v>38.85</v>
      </c>
      <c r="K203" s="4">
        <v>0</v>
      </c>
      <c r="L203">
        <v>0</v>
      </c>
      <c r="M203">
        <v>0</v>
      </c>
      <c r="N203" t="s">
        <v>736</v>
      </c>
    </row>
    <row r="204" spans="1:14" x14ac:dyDescent="0.25">
      <c r="A204">
        <v>0</v>
      </c>
      <c r="B204" s="3" t="s">
        <v>408</v>
      </c>
      <c r="C204" s="4" t="s">
        <v>409</v>
      </c>
      <c r="D204" s="4">
        <v>100</v>
      </c>
      <c r="E204" s="4">
        <v>97</v>
      </c>
      <c r="F204" s="4">
        <v>97</v>
      </c>
      <c r="G204" s="4">
        <v>100</v>
      </c>
      <c r="H204" s="4">
        <v>97</v>
      </c>
      <c r="I204" s="4">
        <v>97</v>
      </c>
      <c r="J204" s="4" t="str">
        <f>VLOOKUP(B204,'[1]قائمة الاسعار'!$A:$I,9,0)</f>
        <v>101.85</v>
      </c>
      <c r="K204" s="4">
        <v>0</v>
      </c>
      <c r="L204">
        <v>0</v>
      </c>
      <c r="M204">
        <v>0</v>
      </c>
      <c r="N204" t="s">
        <v>737</v>
      </c>
    </row>
    <row r="205" spans="1:14" x14ac:dyDescent="0.25">
      <c r="A205">
        <v>0</v>
      </c>
      <c r="B205" s="3" t="s">
        <v>410</v>
      </c>
      <c r="C205" s="4" t="s">
        <v>411</v>
      </c>
      <c r="D205" s="4">
        <v>70</v>
      </c>
      <c r="E205" s="4">
        <v>69</v>
      </c>
      <c r="F205" s="4">
        <v>68</v>
      </c>
      <c r="G205" s="4">
        <v>70</v>
      </c>
      <c r="H205" s="4">
        <v>69</v>
      </c>
      <c r="I205" s="4">
        <v>68</v>
      </c>
      <c r="J205" s="4" t="str">
        <f>VLOOKUP(B205,'[1]قائمة الاسعار'!$A:$I,9,0)</f>
        <v>71.40</v>
      </c>
      <c r="K205" s="4">
        <v>0</v>
      </c>
      <c r="L205">
        <v>0</v>
      </c>
      <c r="M205">
        <v>0</v>
      </c>
      <c r="N205" t="s">
        <v>738</v>
      </c>
    </row>
    <row r="206" spans="1:14" x14ac:dyDescent="0.25">
      <c r="A206">
        <v>0</v>
      </c>
      <c r="B206" s="3" t="s">
        <v>412</v>
      </c>
      <c r="C206" s="4" t="s">
        <v>413</v>
      </c>
      <c r="D206" s="4">
        <v>48</v>
      </c>
      <c r="E206" s="4">
        <v>48</v>
      </c>
      <c r="F206" s="4">
        <v>48</v>
      </c>
      <c r="G206" s="4">
        <v>48</v>
      </c>
      <c r="H206" s="4">
        <v>48</v>
      </c>
      <c r="I206" s="4">
        <v>48</v>
      </c>
      <c r="J206" s="4" t="str">
        <f>VLOOKUP(B206,'[1]قائمة الاسعار'!$A:$I,9,0)</f>
        <v>50.40</v>
      </c>
      <c r="K206" s="4">
        <v>0</v>
      </c>
      <c r="L206">
        <v>0</v>
      </c>
      <c r="M206">
        <v>0</v>
      </c>
      <c r="N206" t="s">
        <v>739</v>
      </c>
    </row>
    <row r="207" spans="1:14" x14ac:dyDescent="0.25">
      <c r="A207">
        <v>0</v>
      </c>
      <c r="B207" s="3" t="s">
        <v>414</v>
      </c>
      <c r="C207" s="4" t="s">
        <v>415</v>
      </c>
      <c r="D207" s="4">
        <v>20</v>
      </c>
      <c r="E207" s="4">
        <v>18.5</v>
      </c>
      <c r="F207" s="4">
        <v>19</v>
      </c>
      <c r="G207" s="4">
        <v>20</v>
      </c>
      <c r="H207" s="4">
        <v>18.5</v>
      </c>
      <c r="I207" s="4">
        <v>19</v>
      </c>
      <c r="J207" s="4" t="str">
        <f>VLOOKUP(B207,'[1]قائمة الاسعار'!$A:$I,9,0)</f>
        <v>19.95</v>
      </c>
      <c r="K207" s="4">
        <v>0</v>
      </c>
      <c r="L207">
        <v>0</v>
      </c>
      <c r="M207">
        <v>0</v>
      </c>
      <c r="N207" t="s">
        <v>740</v>
      </c>
    </row>
    <row r="208" spans="1:14" x14ac:dyDescent="0.25">
      <c r="A208">
        <v>0</v>
      </c>
      <c r="B208" s="3" t="s">
        <v>416</v>
      </c>
      <c r="C208" s="4" t="s">
        <v>417</v>
      </c>
      <c r="D208" s="4">
        <v>39</v>
      </c>
      <c r="E208" s="4">
        <v>38</v>
      </c>
      <c r="F208" s="4">
        <v>37</v>
      </c>
      <c r="G208" s="4">
        <v>39</v>
      </c>
      <c r="H208" s="4">
        <v>38</v>
      </c>
      <c r="I208" s="4">
        <v>37</v>
      </c>
      <c r="J208" s="4" t="str">
        <f>VLOOKUP(B208,'[1]قائمة الاسعار'!$A:$I,9,0)</f>
        <v>38.85</v>
      </c>
      <c r="K208" s="4">
        <v>0</v>
      </c>
      <c r="L208">
        <v>0</v>
      </c>
      <c r="M208">
        <v>0</v>
      </c>
      <c r="N208" t="s">
        <v>741</v>
      </c>
    </row>
    <row r="209" spans="1:14" x14ac:dyDescent="0.25">
      <c r="A209">
        <v>0</v>
      </c>
      <c r="B209" s="3" t="s">
        <v>418</v>
      </c>
      <c r="C209" s="4" t="s">
        <v>419</v>
      </c>
      <c r="D209" s="4">
        <v>42</v>
      </c>
      <c r="E209" s="4">
        <v>42</v>
      </c>
      <c r="F209" s="4">
        <v>42</v>
      </c>
      <c r="G209" s="4">
        <v>42</v>
      </c>
      <c r="H209" s="4">
        <v>42</v>
      </c>
      <c r="I209" s="4">
        <v>42</v>
      </c>
      <c r="J209" s="4" t="str">
        <f>VLOOKUP(B209,'[1]قائمة الاسعار'!$A:$I,9,0)</f>
        <v>44.00</v>
      </c>
      <c r="K209" s="4">
        <v>0</v>
      </c>
      <c r="L209">
        <v>0</v>
      </c>
      <c r="M209">
        <v>0</v>
      </c>
      <c r="N209" t="s">
        <v>742</v>
      </c>
    </row>
    <row r="210" spans="1:14" x14ac:dyDescent="0.25">
      <c r="A210">
        <v>0</v>
      </c>
      <c r="B210" s="3" t="s">
        <v>420</v>
      </c>
      <c r="C210" s="4" t="s">
        <v>421</v>
      </c>
      <c r="D210" s="4">
        <v>26</v>
      </c>
      <c r="E210" s="4">
        <v>25</v>
      </c>
      <c r="F210" s="4">
        <v>24</v>
      </c>
      <c r="G210" s="4">
        <v>26</v>
      </c>
      <c r="H210" s="4">
        <v>25</v>
      </c>
      <c r="I210" s="4">
        <v>24</v>
      </c>
      <c r="J210" s="4" t="str">
        <f>VLOOKUP(B210,'[1]قائمة الاسعار'!$A:$I,9,0)</f>
        <v>25.20</v>
      </c>
      <c r="K210" s="4">
        <v>0</v>
      </c>
      <c r="L210">
        <v>0</v>
      </c>
      <c r="M210">
        <v>0</v>
      </c>
      <c r="N210" t="s">
        <v>743</v>
      </c>
    </row>
    <row r="211" spans="1:14" x14ac:dyDescent="0.25">
      <c r="A211">
        <v>0</v>
      </c>
      <c r="B211" s="3" t="s">
        <v>424</v>
      </c>
      <c r="C211" s="4" t="s">
        <v>425</v>
      </c>
      <c r="D211" s="4">
        <v>42</v>
      </c>
      <c r="E211" s="4">
        <v>38</v>
      </c>
      <c r="F211" s="4">
        <v>38</v>
      </c>
      <c r="G211" s="4">
        <v>42</v>
      </c>
      <c r="H211" s="4">
        <v>38</v>
      </c>
      <c r="I211" s="4">
        <v>38</v>
      </c>
      <c r="J211" s="4" t="str">
        <f>VLOOKUP(B211,'[1]قائمة الاسعار'!$A:$I,9,0)</f>
        <v>39.90</v>
      </c>
      <c r="K211" s="4">
        <v>0</v>
      </c>
      <c r="L211">
        <v>0</v>
      </c>
      <c r="M211">
        <v>0</v>
      </c>
      <c r="N211" t="s">
        <v>746</v>
      </c>
    </row>
    <row r="212" spans="1:14" x14ac:dyDescent="0.25">
      <c r="A212">
        <v>0</v>
      </c>
      <c r="B212" s="3" t="s">
        <v>426</v>
      </c>
      <c r="C212" s="4" t="s">
        <v>427</v>
      </c>
      <c r="D212" s="4">
        <v>59</v>
      </c>
      <c r="E212" s="4">
        <v>57</v>
      </c>
      <c r="F212" s="4">
        <v>55</v>
      </c>
      <c r="G212" s="4">
        <v>59</v>
      </c>
      <c r="H212" s="4">
        <v>57</v>
      </c>
      <c r="I212" s="4">
        <v>55</v>
      </c>
      <c r="J212" s="4" t="str">
        <f>VLOOKUP(B212,'[1]قائمة الاسعار'!$A:$I,9,0)</f>
        <v>57.75</v>
      </c>
      <c r="K212" s="4">
        <v>0</v>
      </c>
      <c r="L212">
        <v>0</v>
      </c>
      <c r="M212">
        <v>0</v>
      </c>
      <c r="N212" t="s">
        <v>747</v>
      </c>
    </row>
    <row r="213" spans="1:14" x14ac:dyDescent="0.25">
      <c r="A213">
        <v>0</v>
      </c>
      <c r="B213" s="3" t="s">
        <v>428</v>
      </c>
      <c r="C213" s="4" t="s">
        <v>429</v>
      </c>
      <c r="D213" s="4">
        <v>59</v>
      </c>
      <c r="E213" s="4">
        <v>57</v>
      </c>
      <c r="F213" s="4">
        <v>55</v>
      </c>
      <c r="G213" s="4">
        <v>59</v>
      </c>
      <c r="H213" s="4">
        <v>57</v>
      </c>
      <c r="I213" s="4">
        <v>55</v>
      </c>
      <c r="J213" s="4" t="str">
        <f>VLOOKUP(B213,'[1]قائمة الاسعار'!$A:$I,9,0)</f>
        <v>57.75</v>
      </c>
      <c r="K213" s="4">
        <v>0</v>
      </c>
      <c r="L213">
        <v>0</v>
      </c>
      <c r="M213">
        <v>0</v>
      </c>
      <c r="N213" t="s">
        <v>748</v>
      </c>
    </row>
    <row r="214" spans="1:14" x14ac:dyDescent="0.25">
      <c r="A214">
        <v>0</v>
      </c>
      <c r="B214" s="3" t="s">
        <v>430</v>
      </c>
      <c r="C214" s="4" t="s">
        <v>431</v>
      </c>
      <c r="D214" s="4">
        <v>65</v>
      </c>
      <c r="E214" s="4">
        <v>63</v>
      </c>
      <c r="F214" s="4">
        <v>61</v>
      </c>
      <c r="G214" s="4">
        <v>65</v>
      </c>
      <c r="H214" s="4">
        <v>63</v>
      </c>
      <c r="I214" s="4">
        <v>61</v>
      </c>
      <c r="J214" s="4" t="str">
        <f>VLOOKUP(B214,'[1]قائمة الاسعار'!$A:$I,9,0)</f>
        <v>64.05</v>
      </c>
      <c r="K214" s="4">
        <v>0</v>
      </c>
      <c r="L214">
        <v>0</v>
      </c>
      <c r="M214">
        <v>0</v>
      </c>
      <c r="N214" t="s">
        <v>749</v>
      </c>
    </row>
    <row r="215" spans="1:14" x14ac:dyDescent="0.25">
      <c r="A215">
        <v>0</v>
      </c>
      <c r="B215" s="3" t="s">
        <v>432</v>
      </c>
      <c r="C215" s="4" t="s">
        <v>433</v>
      </c>
      <c r="D215" s="4">
        <v>56</v>
      </c>
      <c r="E215" s="4">
        <v>54</v>
      </c>
      <c r="F215" s="4">
        <v>54</v>
      </c>
      <c r="G215" s="4">
        <v>56</v>
      </c>
      <c r="H215" s="4">
        <v>54</v>
      </c>
      <c r="I215" s="4">
        <v>54</v>
      </c>
      <c r="J215" s="4" t="str">
        <f>VLOOKUP(B215,'[1]قائمة الاسعار'!$A:$I,9,0)</f>
        <v>56.70</v>
      </c>
      <c r="K215" s="4">
        <v>0</v>
      </c>
      <c r="L215">
        <v>0</v>
      </c>
      <c r="M215">
        <v>0</v>
      </c>
      <c r="N215" t="s">
        <v>750</v>
      </c>
    </row>
    <row r="216" spans="1:14" x14ac:dyDescent="0.25">
      <c r="A216">
        <v>0</v>
      </c>
      <c r="B216" s="3" t="s">
        <v>434</v>
      </c>
      <c r="C216" s="4" t="s">
        <v>435</v>
      </c>
      <c r="D216" s="4">
        <v>39</v>
      </c>
      <c r="E216" s="4">
        <v>37</v>
      </c>
      <c r="F216" s="4">
        <v>35</v>
      </c>
      <c r="G216" s="4">
        <v>39</v>
      </c>
      <c r="H216" s="4">
        <v>37</v>
      </c>
      <c r="I216" s="4">
        <v>35</v>
      </c>
      <c r="J216" s="4" t="str">
        <f>VLOOKUP(B216,'[1]قائمة الاسعار'!$A:$I,9,0)</f>
        <v>36.75</v>
      </c>
      <c r="K216" s="4">
        <v>0</v>
      </c>
      <c r="L216">
        <v>0</v>
      </c>
      <c r="M216">
        <v>0</v>
      </c>
      <c r="N216" t="s">
        <v>751</v>
      </c>
    </row>
    <row r="217" spans="1:14" x14ac:dyDescent="0.25">
      <c r="A217">
        <v>0</v>
      </c>
      <c r="B217" s="3" t="s">
        <v>436</v>
      </c>
      <c r="C217" s="4" t="s">
        <v>437</v>
      </c>
      <c r="D217" s="4">
        <v>60</v>
      </c>
      <c r="E217" s="4">
        <v>58</v>
      </c>
      <c r="F217" s="4">
        <v>56</v>
      </c>
      <c r="G217" s="4">
        <v>60</v>
      </c>
      <c r="H217" s="4">
        <v>58</v>
      </c>
      <c r="I217" s="4">
        <v>56</v>
      </c>
      <c r="J217" s="4" t="str">
        <f>VLOOKUP(B217,'[1]قائمة الاسعار'!$A:$I,9,0)</f>
        <v>58.80</v>
      </c>
      <c r="K217" s="4">
        <v>0</v>
      </c>
      <c r="L217">
        <v>0</v>
      </c>
      <c r="M217">
        <v>0</v>
      </c>
      <c r="N217" t="s">
        <v>752</v>
      </c>
    </row>
    <row r="218" spans="1:14" x14ac:dyDescent="0.25">
      <c r="A218">
        <v>0</v>
      </c>
      <c r="B218" s="3" t="s">
        <v>438</v>
      </c>
      <c r="C218" s="4" t="s">
        <v>439</v>
      </c>
      <c r="D218" s="4">
        <v>60</v>
      </c>
      <c r="E218" s="4">
        <v>58</v>
      </c>
      <c r="F218" s="4">
        <v>56</v>
      </c>
      <c r="G218" s="4">
        <v>60</v>
      </c>
      <c r="H218" s="4">
        <v>58</v>
      </c>
      <c r="I218" s="4">
        <v>56</v>
      </c>
      <c r="J218" s="4" t="str">
        <f>VLOOKUP(B218,'[1]قائمة الاسعار'!$A:$I,9,0)</f>
        <v>58.80</v>
      </c>
      <c r="K218" s="4">
        <v>0</v>
      </c>
      <c r="L218">
        <v>0</v>
      </c>
      <c r="M218">
        <v>0</v>
      </c>
      <c r="N218" t="s">
        <v>753</v>
      </c>
    </row>
    <row r="219" spans="1:14" x14ac:dyDescent="0.25">
      <c r="A219">
        <v>0</v>
      </c>
      <c r="B219" s="3" t="s">
        <v>440</v>
      </c>
      <c r="C219" s="4" t="s">
        <v>441</v>
      </c>
      <c r="D219" s="4">
        <v>66</v>
      </c>
      <c r="E219" s="4">
        <v>64</v>
      </c>
      <c r="F219" s="4">
        <v>62</v>
      </c>
      <c r="G219" s="4">
        <v>66</v>
      </c>
      <c r="H219" s="4">
        <v>64</v>
      </c>
      <c r="I219" s="4">
        <v>62</v>
      </c>
      <c r="J219" s="4" t="str">
        <f>VLOOKUP(B219,'[1]قائمة الاسعار'!$A:$I,9,0)</f>
        <v>65.10</v>
      </c>
      <c r="K219" s="4">
        <v>0</v>
      </c>
      <c r="L219">
        <v>0</v>
      </c>
      <c r="M219">
        <v>0</v>
      </c>
      <c r="N219" t="s">
        <v>754</v>
      </c>
    </row>
    <row r="220" spans="1:14" x14ac:dyDescent="0.25">
      <c r="A220">
        <v>0</v>
      </c>
      <c r="B220" s="3" t="s">
        <v>442</v>
      </c>
      <c r="C220" s="4" t="s">
        <v>443</v>
      </c>
      <c r="D220" s="4">
        <v>56</v>
      </c>
      <c r="E220" s="4">
        <v>56</v>
      </c>
      <c r="F220" s="4">
        <v>53</v>
      </c>
      <c r="G220" s="4">
        <v>56</v>
      </c>
      <c r="H220" s="4">
        <v>56</v>
      </c>
      <c r="I220" s="4">
        <v>53</v>
      </c>
      <c r="J220" s="4" t="str">
        <f>VLOOKUP(B220,'[1]قائمة الاسعار'!$A:$I,9,0)</f>
        <v>55.65</v>
      </c>
      <c r="K220" s="4">
        <v>0</v>
      </c>
      <c r="L220">
        <v>0</v>
      </c>
      <c r="M220">
        <v>0</v>
      </c>
      <c r="N220" t="s">
        <v>755</v>
      </c>
    </row>
    <row r="221" spans="1:14" x14ac:dyDescent="0.25">
      <c r="A221">
        <v>0</v>
      </c>
      <c r="B221" s="3" t="s">
        <v>444</v>
      </c>
      <c r="C221" s="4" t="s">
        <v>445</v>
      </c>
      <c r="D221" s="4">
        <v>54</v>
      </c>
      <c r="E221" s="4">
        <v>54</v>
      </c>
      <c r="F221" s="4">
        <v>54</v>
      </c>
      <c r="G221" s="4">
        <v>54</v>
      </c>
      <c r="H221" s="4">
        <v>54</v>
      </c>
      <c r="I221" s="4">
        <v>54</v>
      </c>
      <c r="J221" s="4" t="str">
        <f>VLOOKUP(B221,'[1]قائمة الاسعار'!$A:$I,9,0)</f>
        <v>56.70</v>
      </c>
      <c r="K221" s="4">
        <v>0</v>
      </c>
      <c r="L221">
        <v>0</v>
      </c>
      <c r="M221">
        <v>0</v>
      </c>
      <c r="N221" t="s">
        <v>756</v>
      </c>
    </row>
    <row r="222" spans="1:14" x14ac:dyDescent="0.25">
      <c r="A222">
        <v>0</v>
      </c>
      <c r="B222" s="3" t="s">
        <v>446</v>
      </c>
      <c r="C222" s="4" t="s">
        <v>447</v>
      </c>
      <c r="D222" s="4">
        <v>59</v>
      </c>
      <c r="E222" s="4">
        <v>58</v>
      </c>
      <c r="F222" s="4">
        <v>57</v>
      </c>
      <c r="G222" s="4">
        <v>59</v>
      </c>
      <c r="H222" s="4">
        <v>58</v>
      </c>
      <c r="I222" s="4">
        <v>57</v>
      </c>
      <c r="J222" s="4" t="str">
        <f>VLOOKUP(B222,'[1]قائمة الاسعار'!$A:$I,9,0)</f>
        <v>59.85</v>
      </c>
      <c r="K222" s="4">
        <v>0</v>
      </c>
      <c r="L222">
        <v>0</v>
      </c>
      <c r="M222">
        <v>0</v>
      </c>
      <c r="N222" t="s">
        <v>757</v>
      </c>
    </row>
    <row r="223" spans="1:14" x14ac:dyDescent="0.25">
      <c r="A223">
        <v>0</v>
      </c>
      <c r="B223" s="3" t="s">
        <v>448</v>
      </c>
      <c r="C223" s="4" t="s">
        <v>449</v>
      </c>
      <c r="D223" s="4">
        <v>46</v>
      </c>
      <c r="E223" s="4">
        <v>46</v>
      </c>
      <c r="F223" s="4">
        <v>42</v>
      </c>
      <c r="G223" s="4">
        <v>46</v>
      </c>
      <c r="H223" s="4">
        <v>46</v>
      </c>
      <c r="I223" s="4">
        <v>42</v>
      </c>
      <c r="J223" s="4" t="str">
        <f>VLOOKUP(B223,'[1]قائمة الاسعار'!$A:$I,9,0)</f>
        <v>44.10</v>
      </c>
      <c r="K223" s="4">
        <v>0</v>
      </c>
      <c r="L223">
        <v>0</v>
      </c>
      <c r="M223">
        <v>0</v>
      </c>
      <c r="N223" t="s">
        <v>758</v>
      </c>
    </row>
    <row r="224" spans="1:14" x14ac:dyDescent="0.25">
      <c r="A224">
        <v>0</v>
      </c>
      <c r="B224" s="3" t="s">
        <v>450</v>
      </c>
      <c r="C224" s="4" t="s">
        <v>451</v>
      </c>
      <c r="D224" s="4">
        <v>95</v>
      </c>
      <c r="E224" s="4">
        <v>95</v>
      </c>
      <c r="F224" s="4">
        <v>90</v>
      </c>
      <c r="G224" s="4">
        <v>95</v>
      </c>
      <c r="H224" s="4">
        <v>95</v>
      </c>
      <c r="I224" s="4">
        <v>90</v>
      </c>
      <c r="J224" s="4" t="str">
        <f>VLOOKUP(B224,'[1]قائمة الاسعار'!$A:$I,9,0)</f>
        <v>94.50</v>
      </c>
      <c r="K224" s="4">
        <v>0</v>
      </c>
      <c r="L224">
        <v>0</v>
      </c>
      <c r="M224">
        <v>0</v>
      </c>
      <c r="N224" t="s">
        <v>759</v>
      </c>
    </row>
    <row r="225" spans="1:14" x14ac:dyDescent="0.25">
      <c r="A225">
        <v>0</v>
      </c>
      <c r="B225" s="3" t="s">
        <v>452</v>
      </c>
      <c r="C225" s="4" t="s">
        <v>453</v>
      </c>
      <c r="D225" s="4">
        <v>38</v>
      </c>
      <c r="E225" s="4">
        <v>38</v>
      </c>
      <c r="F225" s="4">
        <v>37.5</v>
      </c>
      <c r="G225" s="4">
        <v>38</v>
      </c>
      <c r="H225" s="4">
        <v>38</v>
      </c>
      <c r="I225" s="4">
        <v>37.5</v>
      </c>
      <c r="J225" s="4" t="str">
        <f>VLOOKUP(B225,'[1]قائمة الاسعار'!$A:$I,9,0)</f>
        <v>39.38</v>
      </c>
      <c r="K225" s="4">
        <v>0</v>
      </c>
      <c r="L225">
        <v>0</v>
      </c>
      <c r="M225">
        <v>0</v>
      </c>
      <c r="N225" t="s">
        <v>760</v>
      </c>
    </row>
    <row r="226" spans="1:14" x14ac:dyDescent="0.25">
      <c r="A226">
        <v>0</v>
      </c>
      <c r="B226" s="3" t="s">
        <v>276</v>
      </c>
      <c r="C226" s="4" t="s">
        <v>277</v>
      </c>
      <c r="D226" s="4">
        <v>26.09</v>
      </c>
      <c r="E226" s="4">
        <v>26.09</v>
      </c>
      <c r="F226" s="4">
        <v>26.09</v>
      </c>
      <c r="G226" s="4">
        <v>26.09</v>
      </c>
      <c r="H226" s="4">
        <v>26.09</v>
      </c>
      <c r="I226" s="4">
        <v>26.09</v>
      </c>
      <c r="J226" s="4" t="str">
        <f>VLOOKUP(B226,'[1]قائمة الاسعار'!$A:$I,9,0)</f>
        <v>27.30</v>
      </c>
      <c r="K226" s="4">
        <v>0</v>
      </c>
      <c r="L226">
        <v>0</v>
      </c>
      <c r="M226">
        <v>0</v>
      </c>
      <c r="N226" t="s">
        <v>277</v>
      </c>
    </row>
    <row r="227" spans="1:14" x14ac:dyDescent="0.25">
      <c r="A227">
        <v>0</v>
      </c>
      <c r="B227" s="3" t="s">
        <v>278</v>
      </c>
      <c r="C227" s="4" t="s">
        <v>279</v>
      </c>
      <c r="D227" s="4">
        <v>35</v>
      </c>
      <c r="E227" s="4">
        <v>35</v>
      </c>
      <c r="F227" s="4">
        <v>35</v>
      </c>
      <c r="G227" s="4">
        <v>35</v>
      </c>
      <c r="H227" s="4">
        <v>35</v>
      </c>
      <c r="I227" s="4">
        <v>35</v>
      </c>
      <c r="J227" s="4" t="str">
        <f>VLOOKUP(B227,'[1]قائمة الاسعار'!$A:$I,9,0)</f>
        <v>36.75</v>
      </c>
      <c r="K227" s="4">
        <v>0</v>
      </c>
      <c r="L227">
        <v>0</v>
      </c>
      <c r="M227">
        <v>0</v>
      </c>
      <c r="N227" t="s">
        <v>279</v>
      </c>
    </row>
    <row r="228" spans="1:14" x14ac:dyDescent="0.25">
      <c r="A228">
        <v>0</v>
      </c>
      <c r="B228" s="3" t="s">
        <v>280</v>
      </c>
      <c r="C228" s="4" t="s">
        <v>281</v>
      </c>
      <c r="D228" s="4">
        <v>44</v>
      </c>
      <c r="E228" s="4">
        <v>44</v>
      </c>
      <c r="F228" s="4">
        <v>44</v>
      </c>
      <c r="G228" s="4">
        <v>44</v>
      </c>
      <c r="H228" s="4">
        <v>44</v>
      </c>
      <c r="I228" s="4">
        <v>44</v>
      </c>
      <c r="J228" s="4" t="str">
        <f>VLOOKUP(B228,'[1]قائمة الاسعار'!$A:$I,9,0)</f>
        <v>46.20</v>
      </c>
      <c r="K228" s="4">
        <v>0</v>
      </c>
      <c r="L228">
        <v>0</v>
      </c>
      <c r="M228">
        <v>0</v>
      </c>
      <c r="N228" t="s">
        <v>281</v>
      </c>
    </row>
  </sheetData>
  <hyperlinks>
    <hyperlink ref="L116" r:id="rId1" xr:uid="{944A39B1-925B-4F56-8E74-FB19D20AFA1F}"/>
  </hyperlinks>
  <pageMargins left="0.75" right="0.75" top="0.75" bottom="0.5" header="0.5" footer="0.75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قائمة الاسعار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abdalla</dc:creator>
  <cp:lastModifiedBy>abdalla</cp:lastModifiedBy>
  <dcterms:created xsi:type="dcterms:W3CDTF">2025-12-10T10:32:25Z</dcterms:created>
  <dcterms:modified xsi:type="dcterms:W3CDTF">2025-12-10T18:01:18Z</dcterms:modified>
</cp:coreProperties>
</file>